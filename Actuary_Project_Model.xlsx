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 activeTab="5"/>
  </bookViews>
  <sheets>
    <sheet name="USA" sheetId="1" r:id="rId1"/>
    <sheet name="JAPAN" sheetId="2" r:id="rId2"/>
    <sheet name="INDIA" sheetId="3" r:id="rId3"/>
    <sheet name="PREMIUM CALC" sheetId="4" r:id="rId4"/>
    <sheet name="COMPARISON CHART" sheetId="5" r:id="rId5"/>
    <sheet name="SENSITIVITY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6" l="1"/>
  <c r="E28" i="6"/>
  <c r="E27" i="6"/>
  <c r="E26" i="6"/>
  <c r="E25" i="6"/>
  <c r="E24" i="6"/>
  <c r="D28" i="6"/>
  <c r="D27" i="6"/>
  <c r="D26" i="6"/>
  <c r="D25" i="6"/>
  <c r="D24" i="6"/>
  <c r="C28" i="6"/>
  <c r="C27" i="6"/>
  <c r="C26" i="6"/>
  <c r="C24" i="6"/>
  <c r="H65" i="4"/>
  <c r="E57" i="4"/>
  <c r="E58" i="4"/>
  <c r="E59" i="4"/>
  <c r="E60" i="4"/>
  <c r="E61" i="4"/>
  <c r="E62" i="4"/>
  <c r="F62" i="4" s="1"/>
  <c r="E63" i="4"/>
  <c r="E64" i="4"/>
  <c r="F64" i="4" s="1"/>
  <c r="E65" i="4"/>
  <c r="E66" i="4"/>
  <c r="F66" i="4" s="1"/>
  <c r="E67" i="4"/>
  <c r="E68" i="4"/>
  <c r="E69" i="4"/>
  <c r="E70" i="4"/>
  <c r="E71" i="4"/>
  <c r="E72" i="4"/>
  <c r="E73" i="4"/>
  <c r="E74" i="4"/>
  <c r="E75" i="4"/>
  <c r="E56" i="4"/>
  <c r="C57" i="4"/>
  <c r="C58" i="4"/>
  <c r="D58" i="4" s="1"/>
  <c r="C59" i="4"/>
  <c r="C60" i="4"/>
  <c r="C61" i="4"/>
  <c r="C62" i="4"/>
  <c r="C63" i="4"/>
  <c r="D63" i="4" s="1"/>
  <c r="C64" i="4"/>
  <c r="C65" i="4"/>
  <c r="C66" i="4"/>
  <c r="D66" i="4" s="1"/>
  <c r="C67" i="4"/>
  <c r="D67" i="4" s="1"/>
  <c r="C68" i="4"/>
  <c r="C69" i="4"/>
  <c r="C70" i="4"/>
  <c r="C71" i="4"/>
  <c r="D71" i="4" s="1"/>
  <c r="C72" i="4"/>
  <c r="C73" i="4"/>
  <c r="C74" i="4"/>
  <c r="C75" i="4"/>
  <c r="D75" i="4" s="1"/>
  <c r="C56" i="4"/>
  <c r="F56" i="4" s="1"/>
  <c r="G75" i="4"/>
  <c r="H75" i="4" s="1"/>
  <c r="G74" i="4"/>
  <c r="H74" i="4" s="1"/>
  <c r="D74" i="4"/>
  <c r="G73" i="4"/>
  <c r="H73" i="4" s="1"/>
  <c r="G72" i="4"/>
  <c r="H72" i="4" s="1"/>
  <c r="D72" i="4"/>
  <c r="G71" i="4"/>
  <c r="H71" i="4" s="1"/>
  <c r="F71" i="4"/>
  <c r="G70" i="4"/>
  <c r="H70" i="4" s="1"/>
  <c r="F70" i="4"/>
  <c r="D70" i="4"/>
  <c r="G69" i="4"/>
  <c r="H69" i="4" s="1"/>
  <c r="F69" i="4"/>
  <c r="G68" i="4"/>
  <c r="H68" i="4" s="1"/>
  <c r="F68" i="4"/>
  <c r="D68" i="4"/>
  <c r="G67" i="4"/>
  <c r="H67" i="4" s="1"/>
  <c r="G66" i="4"/>
  <c r="H66" i="4" s="1"/>
  <c r="G65" i="4"/>
  <c r="G64" i="4"/>
  <c r="H64" i="4" s="1"/>
  <c r="D64" i="4"/>
  <c r="G63" i="4"/>
  <c r="H63" i="4" s="1"/>
  <c r="F63" i="4"/>
  <c r="G62" i="4"/>
  <c r="H62" i="4" s="1"/>
  <c r="D62" i="4"/>
  <c r="G61" i="4"/>
  <c r="H61" i="4" s="1"/>
  <c r="F61" i="4"/>
  <c r="G60" i="4"/>
  <c r="H60" i="4" s="1"/>
  <c r="F60" i="4"/>
  <c r="D60" i="4"/>
  <c r="G59" i="4"/>
  <c r="H59" i="4" s="1"/>
  <c r="D59" i="4"/>
  <c r="G58" i="4"/>
  <c r="H58" i="4" s="1"/>
  <c r="G57" i="4"/>
  <c r="H57" i="4" s="1"/>
  <c r="G56" i="4"/>
  <c r="H56" i="4" s="1"/>
  <c r="E34" i="4"/>
  <c r="E35" i="4"/>
  <c r="E36" i="4"/>
  <c r="E37" i="4"/>
  <c r="E38" i="4"/>
  <c r="F38" i="4" s="1"/>
  <c r="E39" i="4"/>
  <c r="E40" i="4"/>
  <c r="E41" i="4"/>
  <c r="F41" i="4" s="1"/>
  <c r="E42" i="4"/>
  <c r="E43" i="4"/>
  <c r="E44" i="4"/>
  <c r="E45" i="4"/>
  <c r="E46" i="4"/>
  <c r="F46" i="4" s="1"/>
  <c r="E47" i="4"/>
  <c r="E48" i="4"/>
  <c r="E49" i="4"/>
  <c r="E50" i="4"/>
  <c r="E51" i="4"/>
  <c r="E52" i="4"/>
  <c r="E33" i="4"/>
  <c r="F33" i="4" s="1"/>
  <c r="C35" i="4"/>
  <c r="C36" i="4"/>
  <c r="C37" i="4"/>
  <c r="C38" i="4"/>
  <c r="C39" i="4"/>
  <c r="C40" i="4"/>
  <c r="D40" i="4" s="1"/>
  <c r="C41" i="4"/>
  <c r="C42" i="4"/>
  <c r="D42" i="4" s="1"/>
  <c r="C43" i="4"/>
  <c r="C44" i="4"/>
  <c r="C45" i="4"/>
  <c r="C46" i="4"/>
  <c r="C47" i="4"/>
  <c r="C48" i="4"/>
  <c r="D48" i="4" s="1"/>
  <c r="C49" i="4"/>
  <c r="C50" i="4"/>
  <c r="D50" i="4" s="1"/>
  <c r="C51" i="4"/>
  <c r="C52" i="4"/>
  <c r="C34" i="4"/>
  <c r="C33" i="4"/>
  <c r="G52" i="4"/>
  <c r="H52" i="4" s="1"/>
  <c r="F52" i="4"/>
  <c r="D52" i="4"/>
  <c r="G51" i="4"/>
  <c r="H51" i="4" s="1"/>
  <c r="F51" i="4"/>
  <c r="D51" i="4"/>
  <c r="G50" i="4"/>
  <c r="H50" i="4" s="1"/>
  <c r="G49" i="4"/>
  <c r="H49" i="4" s="1"/>
  <c r="F49" i="4"/>
  <c r="D49" i="4"/>
  <c r="G48" i="4"/>
  <c r="H48" i="4" s="1"/>
  <c r="G47" i="4"/>
  <c r="H47" i="4" s="1"/>
  <c r="D47" i="4"/>
  <c r="G46" i="4"/>
  <c r="H46" i="4" s="1"/>
  <c r="D46" i="4"/>
  <c r="G45" i="4"/>
  <c r="H45" i="4" s="1"/>
  <c r="F45" i="4"/>
  <c r="D45" i="4"/>
  <c r="G44" i="4"/>
  <c r="H44" i="4" s="1"/>
  <c r="F44" i="4"/>
  <c r="D44" i="4"/>
  <c r="G43" i="4"/>
  <c r="H43" i="4" s="1"/>
  <c r="F43" i="4"/>
  <c r="D43" i="4"/>
  <c r="G42" i="4"/>
  <c r="H42" i="4" s="1"/>
  <c r="G41" i="4"/>
  <c r="H41" i="4" s="1"/>
  <c r="D41" i="4"/>
  <c r="G40" i="4"/>
  <c r="H40" i="4" s="1"/>
  <c r="G39" i="4"/>
  <c r="H39" i="4" s="1"/>
  <c r="F39" i="4"/>
  <c r="D39" i="4"/>
  <c r="G38" i="4"/>
  <c r="H38" i="4" s="1"/>
  <c r="D38" i="4"/>
  <c r="G37" i="4"/>
  <c r="H37" i="4" s="1"/>
  <c r="F37" i="4"/>
  <c r="D37" i="4"/>
  <c r="G36" i="4"/>
  <c r="H36" i="4" s="1"/>
  <c r="F36" i="4"/>
  <c r="D36" i="4"/>
  <c r="G35" i="4"/>
  <c r="H35" i="4" s="1"/>
  <c r="F35" i="4"/>
  <c r="D35" i="4"/>
  <c r="G34" i="4"/>
  <c r="H34" i="4" s="1"/>
  <c r="D34" i="4"/>
  <c r="G33" i="4"/>
  <c r="H33" i="4" s="1"/>
  <c r="D33" i="4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10" i="4"/>
  <c r="H10" i="4" s="1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10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2" i="3"/>
  <c r="D4" i="3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3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" i="1"/>
  <c r="H5" i="4" l="1"/>
  <c r="G5" i="4"/>
  <c r="I5" i="4"/>
  <c r="G6" i="4"/>
  <c r="I6" i="4"/>
  <c r="H6" i="4"/>
  <c r="F72" i="4"/>
  <c r="F74" i="4"/>
  <c r="F59" i="4"/>
  <c r="F57" i="4"/>
  <c r="F67" i="4"/>
  <c r="F65" i="4"/>
  <c r="F75" i="4"/>
  <c r="F58" i="4"/>
  <c r="F73" i="4"/>
  <c r="D56" i="4"/>
  <c r="D61" i="4"/>
  <c r="D65" i="4"/>
  <c r="D69" i="4"/>
  <c r="D73" i="4"/>
  <c r="D57" i="4"/>
  <c r="F47" i="4"/>
  <c r="F42" i="4"/>
  <c r="F50" i="4"/>
  <c r="F40" i="4"/>
  <c r="F48" i="4"/>
  <c r="F34" i="4"/>
  <c r="I7" i="4" l="1"/>
  <c r="G7" i="4"/>
  <c r="H7" i="4"/>
</calcChain>
</file>

<file path=xl/sharedStrings.xml><?xml version="1.0" encoding="utf-8"?>
<sst xmlns="http://schemas.openxmlformats.org/spreadsheetml/2006/main" count="116" uniqueCount="24">
  <si>
    <t>Year</t>
  </si>
  <si>
    <t>Age</t>
  </si>
  <si>
    <t>ex</t>
  </si>
  <si>
    <t>qx</t>
  </si>
  <si>
    <t>lx</t>
  </si>
  <si>
    <t>dx</t>
  </si>
  <si>
    <t>2006-08</t>
  </si>
  <si>
    <t>Policy Assumptions</t>
  </si>
  <si>
    <t>Sum Assured</t>
  </si>
  <si>
    <t>Policy Term</t>
  </si>
  <si>
    <t>Entry Age</t>
  </si>
  <si>
    <t>Discount Rate</t>
  </si>
  <si>
    <t>px</t>
  </si>
  <si>
    <t>discount f</t>
  </si>
  <si>
    <t>pv of claims</t>
  </si>
  <si>
    <t>total pv</t>
  </si>
  <si>
    <t>annuity f</t>
  </si>
  <si>
    <t>net premium</t>
  </si>
  <si>
    <t>USA</t>
  </si>
  <si>
    <t>JAPAN</t>
  </si>
  <si>
    <t>INDIA</t>
  </si>
  <si>
    <t>India</t>
  </si>
  <si>
    <t>Japan</t>
  </si>
  <si>
    <t>Mortality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</si>
</sst>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Annual Premium - 50L Term Life, Male Age 30, 20 year term (2019)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CHART'!$B$2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'COMPARISON CHART'!$C$2</c:f>
              <c:numCache>
                <c:formatCode>General</c:formatCode>
                <c:ptCount val="1"/>
                <c:pt idx="0">
                  <c:v>4562.6907246490555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4-47FA-BA0C-C731E7F0CFAE}"/>
            </c:ext>
          </c:extLst>
        </c:ser>
        <c:ser>
          <c:idx val="1"/>
          <c:order val="1"/>
          <c:tx>
            <c:strRef>
              <c:f>'COMPARISON CHART'!$B$3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'COMPARISON CHART'!$C$3</c:f>
              <c:numCache>
                <c:formatCode>General</c:formatCode>
                <c:ptCount val="1"/>
                <c:pt idx="0">
                  <c:v>8845.3842239894311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4-47FA-BA0C-C731E7F0CFAE}"/>
            </c:ext>
          </c:extLst>
        </c:ser>
        <c:ser>
          <c:idx val="2"/>
          <c:order val="2"/>
          <c:tx>
            <c:strRef>
              <c:f>'COMPARISON CHART'!$B$4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'COMPARISON CHART'!$C$4</c:f>
              <c:numCache>
                <c:formatCode>General</c:formatCode>
                <c:ptCount val="1"/>
                <c:pt idx="0">
                  <c:v>12303.842331442505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94-47FA-BA0C-C731E7F0C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446272"/>
        <c:axId val="1499447104"/>
      </c:barChart>
      <c:catAx>
        <c:axId val="1499446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9447104"/>
        <c:crosses val="autoZero"/>
        <c:auto val="1"/>
        <c:lblAlgn val="ctr"/>
        <c:lblOffset val="100"/>
        <c:noMultiLvlLbl val="0"/>
      </c:catAx>
      <c:valAx>
        <c:axId val="1499447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Premiums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4462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Premium</a:t>
            </a:r>
            <a:r>
              <a:rPr lang="en-US" baseline="0"/>
              <a:t> Sensitivity to Discount Rate - 50L Term Life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SENSITIVITY!$C$2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SENSITIVITY!$B$3:$B$9</c:f>
              <c:numCache>
                <c:formatCode>General</c:formatCode>
                <c:ptCount val="7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0.06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</c:numCache>
            </c:numRef>
          </c:cat>
          <c:val>
            <c:numRef>
              <c:f>SENSITIVITY!$C$3:$C$9</c:f>
              <c:numCache>
                <c:formatCode>General</c:formatCode>
                <c:ptCount val="7"/>
                <c:pt idx="0">
                  <c:v>12793.504898197334</c:v>
                </c:pt>
                <c:pt idx="1">
                  <c:v>12623.870664977841</c:v>
                </c:pt>
                <c:pt idx="2">
                  <c:v>12460.567105558934</c:v>
                </c:pt>
                <c:pt idx="3">
                  <c:v>12303.842331442505</c:v>
                </c:pt>
                <c:pt idx="4">
                  <c:v>12153.866251504545</c:v>
                </c:pt>
                <c:pt idx="5">
                  <c:v>12010.734914630488</c:v>
                </c:pt>
                <c:pt idx="6">
                  <c:v>11874.476224253302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BA-4C14-B357-0BE3D226827A}"/>
            </c:ext>
          </c:extLst>
        </c:ser>
        <c:ser>
          <c:idx val="2"/>
          <c:order val="2"/>
          <c:tx>
            <c:strRef>
              <c:f>SENSITIVITY!$D$2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SENSITIVITY!$B$3:$B$9</c:f>
              <c:numCache>
                <c:formatCode>General</c:formatCode>
                <c:ptCount val="7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0.06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</c:numCache>
            </c:numRef>
          </c:cat>
          <c:val>
            <c:numRef>
              <c:f>SENSITIVITY!$D$3:$D$9</c:f>
              <c:numCache>
                <c:formatCode>General</c:formatCode>
                <c:ptCount val="7"/>
                <c:pt idx="0">
                  <c:v>4900.0588462826645</c:v>
                </c:pt>
                <c:pt idx="1">
                  <c:v>4782.7122907783169</c:v>
                </c:pt>
                <c:pt idx="2">
                  <c:v>4670.2069963585682</c:v>
                </c:pt>
                <c:pt idx="3">
                  <c:v>4562.6907246490555</c:v>
                </c:pt>
                <c:pt idx="4">
                  <c:v>4460.2541223606431</c:v>
                </c:pt>
                <c:pt idx="5">
                  <c:v>4362.9344727679036</c:v>
                </c:pt>
                <c:pt idx="6">
                  <c:v>4270.7203715069772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BA-4C14-B357-0BE3D226827A}"/>
            </c:ext>
          </c:extLst>
        </c:ser>
        <c:ser>
          <c:idx val="3"/>
          <c:order val="3"/>
          <c:tx>
            <c:strRef>
              <c:f>SENSITIVITY!$E$2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SENSITIVITY!$B$3:$B$9</c:f>
              <c:numCache>
                <c:formatCode>General</c:formatCode>
                <c:ptCount val="7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0.06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</c:numCache>
            </c:numRef>
          </c:cat>
          <c:val>
            <c:numRef>
              <c:f>SENSITIVITY!$E$3:$E$9</c:f>
              <c:numCache>
                <c:formatCode>General</c:formatCode>
                <c:ptCount val="7"/>
                <c:pt idx="0">
                  <c:v>9512.0348783503141</c:v>
                </c:pt>
                <c:pt idx="1">
                  <c:v>9280.1506583107093</c:v>
                </c:pt>
                <c:pt idx="2">
                  <c:v>9057.8392537032305</c:v>
                </c:pt>
                <c:pt idx="3">
                  <c:v>8845.3842239894311</c:v>
                </c:pt>
                <c:pt idx="4">
                  <c:v>8642.956485980143</c:v>
                </c:pt>
                <c:pt idx="5">
                  <c:v>8450.6218789898721</c:v>
                </c:pt>
                <c:pt idx="6">
                  <c:v>8268.3505310792771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BA-4C14-B357-0BE3D2268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441600"/>
        <c:axId val="16514478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SENSITIVITY!$B$2</c15:sqref>
                        </c15:formulaRef>
                      </c:ext>
                    </c:extLst>
                    <c:strCache>
                      <c:ptCount val="1"/>
                      <c:pt idx="0">
                        <c:v>Discount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SENSITIVITY!$B$3:$B$9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0.03</c:v>
                      </c:pt>
                      <c:pt idx="1">
                        <c:v>0.04</c:v>
                      </c:pt>
                      <c:pt idx="2">
                        <c:v>0.05</c:v>
                      </c:pt>
                      <c:pt idx="3">
                        <c:v>0.06</c:v>
                      </c:pt>
                      <c:pt idx="4">
                        <c:v>7.0000000000000007E-2</c:v>
                      </c:pt>
                      <c:pt idx="5">
                        <c:v>0.08</c:v>
                      </c:pt>
                      <c:pt idx="6">
                        <c:v>0.09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SENSITIVITY!$B$3:$B$9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0.03</c:v>
                      </c:pt>
                      <c:pt idx="1">
                        <c:v>0.04</c:v>
                      </c:pt>
                      <c:pt idx="2">
                        <c:v>0.05</c:v>
                      </c:pt>
                      <c:pt idx="3">
                        <c:v>0.06</c:v>
                      </c:pt>
                      <c:pt idx="4">
                        <c:v>7.0000000000000007E-2</c:v>
                      </c:pt>
                      <c:pt idx="5">
                        <c:v>0.08</c:v>
                      </c:pt>
                      <c:pt idx="6">
                        <c:v>0.09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7BA-4C14-B357-0BE3D226827A}"/>
                  </c:ext>
                </c:extLst>
              </c15:ser>
            </c15:filteredLineSeries>
          </c:ext>
        </c:extLst>
      </c:lineChart>
      <c:catAx>
        <c:axId val="165144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47840"/>
        <c:crosses val="autoZero"/>
        <c:auto val="1"/>
        <c:lblAlgn val="ctr"/>
        <c:lblOffset val="100"/>
        <c:noMultiLvlLbl val="0"/>
      </c:catAx>
      <c:valAx>
        <c:axId val="165144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4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Premium</a:t>
            </a:r>
            <a:r>
              <a:rPr lang="en-US" baseline="0"/>
              <a:t> Sensitivity to Mortality Stress-50L Term Life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SENSITIVITY!$C$23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SENSITIVITY!$B$24:$B$28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 formatCode="General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SENSITIVITY!$C$24:$C$28</c:f>
              <c:numCache>
                <c:formatCode>General</c:formatCode>
                <c:ptCount val="5"/>
                <c:pt idx="0">
                  <c:v>9843.073865154005</c:v>
                </c:pt>
                <c:pt idx="1">
                  <c:v>11073.458098298255</c:v>
                </c:pt>
                <c:pt idx="2">
                  <c:v>12303.842331442505</c:v>
                </c:pt>
                <c:pt idx="3">
                  <c:v>13534.226564586757</c:v>
                </c:pt>
                <c:pt idx="4">
                  <c:v>14764.610797731006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8-4465-8F2B-1E5C2E674D99}"/>
            </c:ext>
          </c:extLst>
        </c:ser>
        <c:ser>
          <c:idx val="2"/>
          <c:order val="2"/>
          <c:tx>
            <c:strRef>
              <c:f>SENSITIVITY!$D$23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SENSITIVITY!$B$24:$B$28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 formatCode="General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SENSITIVITY!$D$24:$D$28</c:f>
              <c:numCache>
                <c:formatCode>General</c:formatCode>
                <c:ptCount val="5"/>
                <c:pt idx="0">
                  <c:v>3650.1525797192444</c:v>
                </c:pt>
                <c:pt idx="1">
                  <c:v>4106.4216521841499</c:v>
                </c:pt>
                <c:pt idx="2">
                  <c:v>4562.6907246490555</c:v>
                </c:pt>
                <c:pt idx="3">
                  <c:v>5018.959797113961</c:v>
                </c:pt>
                <c:pt idx="4">
                  <c:v>5475.2288695788666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8-4465-8F2B-1E5C2E674D99}"/>
            </c:ext>
          </c:extLst>
        </c:ser>
        <c:ser>
          <c:idx val="3"/>
          <c:order val="3"/>
          <c:tx>
            <c:strRef>
              <c:f>SENSITIVITY!$E$23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SENSITIVITY!$B$24:$B$28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 formatCode="General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SENSITIVITY!$E$24:$E$28</c:f>
              <c:numCache>
                <c:formatCode>General</c:formatCode>
                <c:ptCount val="5"/>
                <c:pt idx="0">
                  <c:v>7076.3073791915449</c:v>
                </c:pt>
                <c:pt idx="1">
                  <c:v>7960.845801590488</c:v>
                </c:pt>
                <c:pt idx="2">
                  <c:v>8845.3842239894311</c:v>
                </c:pt>
                <c:pt idx="3">
                  <c:v>9729.9226463883751</c:v>
                </c:pt>
                <c:pt idx="4">
                  <c:v>10614.461068787317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8-4465-8F2B-1E5C2E674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442016"/>
        <c:axId val="16514428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SENSITIVITY!$B$23</c15:sqref>
                        </c15:formulaRef>
                      </c:ext>
                    </c:extLst>
                    <c:strCache>
                      <c:ptCount val="1"/>
                      <c:pt idx="0">
                        <c:v>Mortality Stress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SENSITIVITY!$B$24:$B$28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-0.2</c:v>
                      </c:pt>
                      <c:pt idx="1">
                        <c:v>-0.1</c:v>
                      </c:pt>
                      <c:pt idx="2" formatCode="General">
                        <c:v>0</c:v>
                      </c:pt>
                      <c:pt idx="3">
                        <c:v>0.1</c:v>
                      </c:pt>
                      <c:pt idx="4">
                        <c:v>0.2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SENSITIVITY!$B$24:$B$28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-0.2</c:v>
                      </c:pt>
                      <c:pt idx="1">
                        <c:v>-0.1</c:v>
                      </c:pt>
                      <c:pt idx="2" formatCode="General">
                        <c:v>0</c:v>
                      </c:pt>
                      <c:pt idx="3">
                        <c:v>0.1</c:v>
                      </c:pt>
                      <c:pt idx="4">
                        <c:v>0.2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9F8-4465-8F2B-1E5C2E674D99}"/>
                  </c:ext>
                </c:extLst>
              </c15:ser>
            </c15:filteredLineSeries>
          </c:ext>
        </c:extLst>
      </c:lineChart>
      <c:catAx>
        <c:axId val="165144201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42848"/>
        <c:crosses val="autoZero"/>
        <c:auto val="1"/>
        <c:lblAlgn val="ctr"/>
        <c:lblOffset val="100"/>
        <c:noMultiLvlLbl val="0"/>
      </c:catAx>
      <c:valAx>
        <c:axId val="16514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4</xdr:row>
      <xdr:rowOff>114300</xdr:rowOff>
    </xdr:from>
    <xdr:to>
      <xdr:col>14</xdr:col>
      <xdr:colOff>152400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573181</xdr:colOff>
      <xdr:row>0</xdr:row>
      <xdr:rowOff>159124</xdr:rowOff>
    </xdr:from>
    <xdr:to>
      <xdr:col>13</xdr:col>
      <xdr:colOff>272863</xdr:colOff>
      <xdr:row>15</xdr:row>
      <xdr:rowOff>44824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20</xdr:row>
      <xdr:rowOff>141194</xdr:rowOff>
    </xdr:from>
    <xdr:to>
      <xdr:col>13</xdr:col>
      <xdr:colOff>302559</xdr:colOff>
      <xdr:row>35</xdr:row>
      <xdr:rowOff>26894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G4" sqref="G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</row>
    <row r="2" spans="1:6" x14ac:dyDescent="0.25">
      <c r="A2">
        <v>2019</v>
      </c>
      <c r="B2">
        <v>18</v>
      </c>
      <c r="C2">
        <v>8.6872457460663796E-4</v>
      </c>
      <c r="D2">
        <v>98970.611415623294</v>
      </c>
      <c r="E2">
        <v>59.243812676226099</v>
      </c>
      <c r="F2">
        <f>D2*C2</f>
        <v>85.978202300596209</v>
      </c>
    </row>
    <row r="3" spans="1:6" x14ac:dyDescent="0.25">
      <c r="A3">
        <v>2019</v>
      </c>
      <c r="B3">
        <v>19</v>
      </c>
      <c r="C3">
        <v>9.5911548179943495E-4</v>
      </c>
      <c r="D3">
        <v>98884.633213322697</v>
      </c>
      <c r="E3">
        <v>58.294889241371301</v>
      </c>
      <c r="F3">
        <f t="shared" ref="F3:F54" si="0">D3*C3</f>
        <v>94.841782626956402</v>
      </c>
    </row>
    <row r="4" spans="1:6" x14ac:dyDescent="0.25">
      <c r="A4">
        <v>2019</v>
      </c>
      <c r="B4">
        <v>20</v>
      </c>
      <c r="C4">
        <v>1.0736055940749601E-3</v>
      </c>
      <c r="D4">
        <v>98789.791430695797</v>
      </c>
      <c r="E4">
        <v>57.350374431116101</v>
      </c>
      <c r="F4">
        <f t="shared" si="0"/>
        <v>106.06127271749357</v>
      </c>
    </row>
    <row r="5" spans="1:6" x14ac:dyDescent="0.25">
      <c r="A5">
        <v>2019</v>
      </c>
      <c r="B5">
        <v>21</v>
      </c>
      <c r="C5">
        <v>1.2700902870353299E-3</v>
      </c>
      <c r="D5">
        <v>98683.730157978294</v>
      </c>
      <c r="E5">
        <v>56.411474908945401</v>
      </c>
      <c r="F5">
        <f t="shared" si="0"/>
        <v>125.3372471620637</v>
      </c>
    </row>
    <row r="6" spans="1:6" x14ac:dyDescent="0.25">
      <c r="A6">
        <v>2019</v>
      </c>
      <c r="B6">
        <v>22</v>
      </c>
      <c r="C6">
        <v>1.31085718289032E-3</v>
      </c>
      <c r="D6">
        <v>98558.392910816197</v>
      </c>
      <c r="E6">
        <v>55.4825778372998</v>
      </c>
      <c r="F6">
        <f t="shared" si="0"/>
        <v>129.19597728126979</v>
      </c>
    </row>
    <row r="7" spans="1:6" x14ac:dyDescent="0.25">
      <c r="A7">
        <v>2019</v>
      </c>
      <c r="B7">
        <v>23</v>
      </c>
      <c r="C7">
        <v>1.35228622611367E-3</v>
      </c>
      <c r="D7">
        <v>98429.196933534899</v>
      </c>
      <c r="E7">
        <v>54.554746747526004</v>
      </c>
      <c r="F7">
        <f t="shared" si="0"/>
        <v>133.10444726064912</v>
      </c>
    </row>
    <row r="8" spans="1:6" x14ac:dyDescent="0.25">
      <c r="A8">
        <v>2019</v>
      </c>
      <c r="B8">
        <v>24</v>
      </c>
      <c r="C8">
        <v>1.42090547141824E-3</v>
      </c>
      <c r="D8">
        <v>98296.092486274298</v>
      </c>
      <c r="E8">
        <v>53.627943219589703</v>
      </c>
      <c r="F8">
        <f t="shared" si="0"/>
        <v>139.66945563278051</v>
      </c>
    </row>
    <row r="9" spans="1:6" x14ac:dyDescent="0.25">
      <c r="A9">
        <v>2019</v>
      </c>
      <c r="B9">
        <v>25</v>
      </c>
      <c r="C9">
        <v>1.54862851749139E-3</v>
      </c>
      <c r="D9">
        <v>98156.423030641497</v>
      </c>
      <c r="E9">
        <v>52.703540421273097</v>
      </c>
      <c r="F9">
        <f t="shared" si="0"/>
        <v>152.00783588020008</v>
      </c>
    </row>
    <row r="10" spans="1:6" x14ac:dyDescent="0.25">
      <c r="A10">
        <v>2019</v>
      </c>
      <c r="B10">
        <v>26</v>
      </c>
      <c r="C10">
        <v>1.62375964618572E-3</v>
      </c>
      <c r="D10">
        <v>98004.415194761299</v>
      </c>
      <c r="E10">
        <v>51.784509704023797</v>
      </c>
      <c r="F10">
        <f t="shared" si="0"/>
        <v>159.13561454128401</v>
      </c>
    </row>
    <row r="11" spans="1:6" x14ac:dyDescent="0.25">
      <c r="A11">
        <v>2019</v>
      </c>
      <c r="B11">
        <v>27</v>
      </c>
      <c r="C11">
        <v>1.6717868320645999E-3</v>
      </c>
      <c r="D11">
        <v>97845.279580219998</v>
      </c>
      <c r="E11">
        <v>50.867918857773603</v>
      </c>
      <c r="F11">
        <f t="shared" si="0"/>
        <v>163.57644998189107</v>
      </c>
    </row>
    <row r="12" spans="1:6" x14ac:dyDescent="0.25">
      <c r="A12">
        <v>2019</v>
      </c>
      <c r="B12">
        <v>28</v>
      </c>
      <c r="C12">
        <v>1.7779056544309101E-3</v>
      </c>
      <c r="D12">
        <v>97681.703130238093</v>
      </c>
      <c r="E12">
        <v>49.952264288859602</v>
      </c>
      <c r="F12">
        <f t="shared" si="0"/>
        <v>173.66885232969184</v>
      </c>
    </row>
    <row r="13" spans="1:6" x14ac:dyDescent="0.25">
      <c r="A13">
        <v>2019</v>
      </c>
      <c r="B13">
        <v>29</v>
      </c>
      <c r="C13">
        <v>1.84026959630835E-3</v>
      </c>
      <c r="D13">
        <v>97508.034277908402</v>
      </c>
      <c r="E13">
        <v>49.040342343634698</v>
      </c>
      <c r="F13">
        <f t="shared" si="0"/>
        <v>179.44107087742725</v>
      </c>
    </row>
    <row r="14" spans="1:6" x14ac:dyDescent="0.25">
      <c r="A14">
        <v>2019</v>
      </c>
      <c r="B14">
        <v>30</v>
      </c>
      <c r="C14">
        <v>1.8906681353918901E-3</v>
      </c>
      <c r="D14">
        <v>97328.593207030994</v>
      </c>
      <c r="E14">
        <v>48.129834349261202</v>
      </c>
      <c r="F14">
        <f t="shared" si="0"/>
        <v>184.01606983905307</v>
      </c>
    </row>
    <row r="15" spans="1:6" x14ac:dyDescent="0.25">
      <c r="A15">
        <v>2019</v>
      </c>
      <c r="B15">
        <v>31</v>
      </c>
      <c r="C15">
        <v>1.9133348532733201E-3</v>
      </c>
      <c r="D15">
        <v>97144.577137191998</v>
      </c>
      <c r="E15">
        <v>47.2200571407162</v>
      </c>
      <c r="F15">
        <f t="shared" si="0"/>
        <v>185.87010524308798</v>
      </c>
    </row>
    <row r="16" spans="1:6" x14ac:dyDescent="0.25">
      <c r="A16">
        <v>2019</v>
      </c>
      <c r="B16">
        <v>32</v>
      </c>
      <c r="C16">
        <v>1.9245716677414699E-3</v>
      </c>
      <c r="D16">
        <v>96958.707031948899</v>
      </c>
      <c r="E16">
        <v>46.309619617398702</v>
      </c>
      <c r="F16">
        <f t="shared" si="0"/>
        <v>186.60398049453448</v>
      </c>
    </row>
    <row r="17" spans="1:6" x14ac:dyDescent="0.25">
      <c r="A17">
        <v>2019</v>
      </c>
      <c r="B17">
        <v>33</v>
      </c>
      <c r="C17">
        <v>1.96980949229028E-3</v>
      </c>
      <c r="D17">
        <v>96772.103051454294</v>
      </c>
      <c r="E17">
        <v>45.3979535183474</v>
      </c>
      <c r="F17">
        <f t="shared" si="0"/>
        <v>190.62260717964784</v>
      </c>
    </row>
    <row r="18" spans="1:6" x14ac:dyDescent="0.25">
      <c r="A18">
        <v>2019</v>
      </c>
      <c r="B18">
        <v>34</v>
      </c>
      <c r="C18">
        <v>2.08167380610332E-3</v>
      </c>
      <c r="D18">
        <v>96581.480444274697</v>
      </c>
      <c r="E18">
        <v>44.486568487980598</v>
      </c>
      <c r="F18">
        <f t="shared" si="0"/>
        <v>201.05113799552669</v>
      </c>
    </row>
    <row r="19" spans="1:6" x14ac:dyDescent="0.25">
      <c r="A19">
        <v>2019</v>
      </c>
      <c r="B19">
        <v>35</v>
      </c>
      <c r="C19">
        <v>2.1542246333609602E-3</v>
      </c>
      <c r="D19">
        <v>96380.429306279198</v>
      </c>
      <c r="E19">
        <v>43.578325182930797</v>
      </c>
      <c r="F19">
        <f t="shared" si="0"/>
        <v>207.62509498549124</v>
      </c>
    </row>
    <row r="20" spans="1:6" x14ac:dyDescent="0.25">
      <c r="A20">
        <v>2019</v>
      </c>
      <c r="B20">
        <v>36</v>
      </c>
      <c r="C20">
        <v>2.2017505378491399E-3</v>
      </c>
      <c r="D20">
        <v>96172.804211293696</v>
      </c>
      <c r="E20">
        <v>42.671325916675301</v>
      </c>
      <c r="F20">
        <f t="shared" si="0"/>
        <v>211.74852339867593</v>
      </c>
    </row>
    <row r="21" spans="1:6" x14ac:dyDescent="0.25">
      <c r="A21">
        <v>2019</v>
      </c>
      <c r="B21">
        <v>37</v>
      </c>
      <c r="C21">
        <v>2.3130460178720801E-3</v>
      </c>
      <c r="D21">
        <v>95961.055687895001</v>
      </c>
      <c r="E21">
        <v>41.764381541466101</v>
      </c>
      <c r="F21">
        <f t="shared" si="0"/>
        <v>221.96233772968645</v>
      </c>
    </row>
    <row r="22" spans="1:6" x14ac:dyDescent="0.25">
      <c r="A22">
        <v>2019</v>
      </c>
      <c r="B22">
        <v>38</v>
      </c>
      <c r="C22">
        <v>2.41878687764674E-3</v>
      </c>
      <c r="D22">
        <v>95739.093350165305</v>
      </c>
      <c r="E22">
        <v>40.8600492386566</v>
      </c>
      <c r="F22">
        <f t="shared" si="0"/>
        <v>231.57246267317612</v>
      </c>
    </row>
    <row r="23" spans="1:6" x14ac:dyDescent="0.25">
      <c r="A23">
        <v>2019</v>
      </c>
      <c r="B23">
        <v>39</v>
      </c>
      <c r="C23">
        <v>2.4695722837723001E-3</v>
      </c>
      <c r="D23">
        <v>95507.520887492094</v>
      </c>
      <c r="E23">
        <v>39.957908296340797</v>
      </c>
      <c r="F23">
        <f t="shared" si="0"/>
        <v>235.8627264755545</v>
      </c>
    </row>
    <row r="24" spans="1:6" x14ac:dyDescent="0.25">
      <c r="A24">
        <v>2019</v>
      </c>
      <c r="B24">
        <v>40</v>
      </c>
      <c r="C24">
        <v>2.75962355490691E-3</v>
      </c>
      <c r="D24">
        <v>95271.658161016603</v>
      </c>
      <c r="E24">
        <v>39.055593694196197</v>
      </c>
      <c r="F24">
        <f t="shared" si="0"/>
        <v>262.91391197618054</v>
      </c>
    </row>
    <row r="25" spans="1:6" x14ac:dyDescent="0.25">
      <c r="A25">
        <v>2019</v>
      </c>
      <c r="B25">
        <v>41</v>
      </c>
      <c r="C25">
        <v>2.65388085363631E-3</v>
      </c>
      <c r="D25">
        <v>95008.744249040406</v>
      </c>
      <c r="E25">
        <v>38.162287052232102</v>
      </c>
      <c r="F25">
        <f t="shared" si="0"/>
        <v>252.14188729055721</v>
      </c>
    </row>
    <row r="26" spans="1:6" x14ac:dyDescent="0.25">
      <c r="A26">
        <v>2019</v>
      </c>
      <c r="B26">
        <v>42</v>
      </c>
      <c r="C26">
        <v>2.8464723213965102E-3</v>
      </c>
      <c r="D26">
        <v>94756.602361749799</v>
      </c>
      <c r="E26">
        <v>37.262504239217897</v>
      </c>
      <c r="F26">
        <f t="shared" si="0"/>
        <v>269.72204589229597</v>
      </c>
    </row>
    <row r="27" spans="1:6" x14ac:dyDescent="0.25">
      <c r="A27">
        <v>2019</v>
      </c>
      <c r="B27">
        <v>43</v>
      </c>
      <c r="C27">
        <v>2.8515017073565E-3</v>
      </c>
      <c r="D27">
        <v>94486.880315857605</v>
      </c>
      <c r="E27">
        <v>36.367446404970202</v>
      </c>
      <c r="F27">
        <f t="shared" si="0"/>
        <v>269.42950054345721</v>
      </c>
    </row>
    <row r="28" spans="1:6" x14ac:dyDescent="0.25">
      <c r="A28">
        <v>2019</v>
      </c>
      <c r="B28">
        <v>44</v>
      </c>
      <c r="C28">
        <v>3.0378378492766098E-3</v>
      </c>
      <c r="D28">
        <v>94217.450815314107</v>
      </c>
      <c r="E28">
        <v>35.470014964053902</v>
      </c>
      <c r="F28">
        <f t="shared" si="0"/>
        <v>286.21733814911858</v>
      </c>
    </row>
    <row r="29" spans="1:6" x14ac:dyDescent="0.25">
      <c r="A29">
        <v>2019</v>
      </c>
      <c r="B29">
        <v>45</v>
      </c>
      <c r="C29">
        <v>3.3382899011284001E-3</v>
      </c>
      <c r="D29">
        <v>93931.233477165006</v>
      </c>
      <c r="E29">
        <v>34.576571901800001</v>
      </c>
      <c r="F29">
        <f t="shared" si="0"/>
        <v>313.56968811735385</v>
      </c>
    </row>
    <row r="30" spans="1:6" x14ac:dyDescent="0.25">
      <c r="A30">
        <v>2019</v>
      </c>
      <c r="B30">
        <v>46</v>
      </c>
      <c r="C30">
        <v>3.54193009328412E-3</v>
      </c>
      <c r="D30">
        <v>93617.663789047598</v>
      </c>
      <c r="E30">
        <v>33.690710405057601</v>
      </c>
      <c r="F30">
        <f t="shared" si="0"/>
        <v>331.58722063738276</v>
      </c>
    </row>
    <row r="31" spans="1:6" x14ac:dyDescent="0.25">
      <c r="A31">
        <v>2019</v>
      </c>
      <c r="B31">
        <v>47</v>
      </c>
      <c r="C31">
        <v>3.85678919134071E-3</v>
      </c>
      <c r="D31">
        <v>93286.076568410295</v>
      </c>
      <c r="E31">
        <v>32.8086874474957</v>
      </c>
      <c r="F31">
        <f t="shared" si="0"/>
        <v>359.78473181162667</v>
      </c>
    </row>
    <row r="32" spans="1:6" x14ac:dyDescent="0.25">
      <c r="A32">
        <v>2019</v>
      </c>
      <c r="B32">
        <v>48</v>
      </c>
      <c r="C32">
        <v>4.1183607754941001E-3</v>
      </c>
      <c r="D32">
        <v>92926.291836598597</v>
      </c>
      <c r="E32">
        <v>31.933777690727599</v>
      </c>
      <c r="F32">
        <f t="shared" si="0"/>
        <v>382.70399531196529</v>
      </c>
    </row>
    <row r="33" spans="1:6" x14ac:dyDescent="0.25">
      <c r="A33">
        <v>2019</v>
      </c>
      <c r="B33">
        <v>49</v>
      </c>
      <c r="C33">
        <v>4.3996868322937399E-3</v>
      </c>
      <c r="D33">
        <v>92543.587841286702</v>
      </c>
      <c r="E33">
        <v>31.0637686775761</v>
      </c>
      <c r="F33">
        <f t="shared" si="0"/>
        <v>407.16280483852813</v>
      </c>
    </row>
    <row r="34" spans="1:6" x14ac:dyDescent="0.25">
      <c r="A34">
        <v>2019</v>
      </c>
      <c r="B34">
        <v>50</v>
      </c>
      <c r="C34">
        <v>4.8884847909496498E-3</v>
      </c>
      <c r="D34">
        <v>92136.425036448098</v>
      </c>
      <c r="E34">
        <v>30.1988339329979</v>
      </c>
      <c r="F34">
        <f t="shared" si="0"/>
        <v>450.40751248314905</v>
      </c>
    </row>
    <row r="35" spans="1:6" x14ac:dyDescent="0.25">
      <c r="A35">
        <v>2019</v>
      </c>
      <c r="B35">
        <v>51</v>
      </c>
      <c r="C35">
        <v>5.27604210303609E-3</v>
      </c>
      <c r="D35">
        <v>91686.017523964998</v>
      </c>
      <c r="E35">
        <v>29.3447294389502</v>
      </c>
      <c r="F35">
        <f t="shared" si="0"/>
        <v>483.73928871614407</v>
      </c>
    </row>
    <row r="36" spans="1:6" x14ac:dyDescent="0.25">
      <c r="A36">
        <v>2019</v>
      </c>
      <c r="B36">
        <v>52</v>
      </c>
      <c r="C36">
        <v>5.7564262552059001E-3</v>
      </c>
      <c r="D36">
        <v>91202.278235248799</v>
      </c>
      <c r="E36">
        <v>28.497722644514901</v>
      </c>
      <c r="F36">
        <f t="shared" si="0"/>
        <v>524.99918896797976</v>
      </c>
    </row>
    <row r="37" spans="1:6" x14ac:dyDescent="0.25">
      <c r="A37">
        <v>2019</v>
      </c>
      <c r="B37">
        <v>53</v>
      </c>
      <c r="C37">
        <v>6.0828948798513699E-3</v>
      </c>
      <c r="D37">
        <v>90677.279046280906</v>
      </c>
      <c r="E37">
        <v>27.659822586594299</v>
      </c>
      <c r="F37">
        <f t="shared" si="0"/>
        <v>551.58035642947607</v>
      </c>
    </row>
    <row r="38" spans="1:6" x14ac:dyDescent="0.25">
      <c r="A38">
        <v>2019</v>
      </c>
      <c r="B38">
        <v>54</v>
      </c>
      <c r="C38">
        <v>6.8481905120583702E-3</v>
      </c>
      <c r="D38">
        <v>90125.698689851401</v>
      </c>
      <c r="E38">
        <v>26.826044039971599</v>
      </c>
      <c r="F38">
        <f t="shared" si="0"/>
        <v>617.19795466047185</v>
      </c>
    </row>
    <row r="39" spans="1:6" x14ac:dyDescent="0.25">
      <c r="A39">
        <v>2019</v>
      </c>
      <c r="B39">
        <v>55</v>
      </c>
      <c r="C39">
        <v>7.6972298819775603E-3</v>
      </c>
      <c r="D39">
        <v>89508.500735190901</v>
      </c>
      <c r="E39">
        <v>26.0075729495424</v>
      </c>
      <c r="F39">
        <f t="shared" si="0"/>
        <v>688.96750654992184</v>
      </c>
    </row>
    <row r="40" spans="1:6" x14ac:dyDescent="0.25">
      <c r="A40">
        <v>2019</v>
      </c>
      <c r="B40">
        <v>56</v>
      </c>
      <c r="C40">
        <v>8.1481857446779604E-3</v>
      </c>
      <c r="D40">
        <v>88819.533228640998</v>
      </c>
      <c r="E40">
        <v>25.2054335810315</v>
      </c>
      <c r="F40">
        <f t="shared" si="0"/>
        <v>723.71805450256295</v>
      </c>
    </row>
    <row r="41" spans="1:6" x14ac:dyDescent="0.25">
      <c r="A41">
        <v>2019</v>
      </c>
      <c r="B41">
        <v>57</v>
      </c>
      <c r="C41">
        <v>8.8827732755576792E-3</v>
      </c>
      <c r="D41">
        <v>88095.815174138406</v>
      </c>
      <c r="E41">
        <v>24.408391783887801</v>
      </c>
      <c r="F41">
        <f t="shared" si="0"/>
        <v>782.53515271730532</v>
      </c>
    </row>
    <row r="42" spans="1:6" x14ac:dyDescent="0.25">
      <c r="A42">
        <v>2019</v>
      </c>
      <c r="B42">
        <v>58</v>
      </c>
      <c r="C42">
        <v>9.4646371789610904E-3</v>
      </c>
      <c r="D42">
        <v>87313.280021421102</v>
      </c>
      <c r="E42">
        <v>23.622667974305099</v>
      </c>
      <c r="F42">
        <f t="shared" si="0"/>
        <v>826.38851630778277</v>
      </c>
    </row>
    <row r="43" spans="1:6" x14ac:dyDescent="0.25">
      <c r="A43">
        <v>2019</v>
      </c>
      <c r="B43">
        <v>59</v>
      </c>
      <c r="C43">
        <v>1.0336575597345601E-2</v>
      </c>
      <c r="D43">
        <v>86486.891505113395</v>
      </c>
      <c r="E43">
        <v>22.8436067425719</v>
      </c>
      <c r="F43">
        <f t="shared" si="0"/>
        <v>893.97829222203166</v>
      </c>
    </row>
    <row r="44" spans="1:6" x14ac:dyDescent="0.25">
      <c r="A44">
        <v>2019</v>
      </c>
      <c r="B44">
        <v>60</v>
      </c>
      <c r="C44">
        <v>1.1172388264159699E-2</v>
      </c>
      <c r="D44">
        <v>85592.913212891304</v>
      </c>
      <c r="E44">
        <v>22.0769753550892</v>
      </c>
      <c r="F44">
        <f t="shared" si="0"/>
        <v>956.27725907494653</v>
      </c>
    </row>
    <row r="45" spans="1:6" x14ac:dyDescent="0.25">
      <c r="A45">
        <v>2019</v>
      </c>
      <c r="B45">
        <v>61</v>
      </c>
      <c r="C45">
        <v>1.20063290070527E-2</v>
      </c>
      <c r="D45">
        <v>84636.635953816396</v>
      </c>
      <c r="E45">
        <v>21.320765418566602</v>
      </c>
      <c r="F45">
        <f t="shared" si="0"/>
        <v>1016.1752973116653</v>
      </c>
    </row>
    <row r="46" spans="1:6" x14ac:dyDescent="0.25">
      <c r="A46">
        <v>2019</v>
      </c>
      <c r="B46">
        <v>62</v>
      </c>
      <c r="C46">
        <v>1.3008410587602E-2</v>
      </c>
      <c r="D46">
        <v>83620.4606565047</v>
      </c>
      <c r="E46">
        <v>20.573784205157299</v>
      </c>
      <c r="F46">
        <f t="shared" si="0"/>
        <v>1087.7692857442323</v>
      </c>
    </row>
    <row r="47" spans="1:6" x14ac:dyDescent="0.25">
      <c r="A47">
        <v>2019</v>
      </c>
      <c r="B47">
        <v>63</v>
      </c>
      <c r="C47">
        <v>1.3854827891589899E-2</v>
      </c>
      <c r="D47">
        <v>82532.691370760498</v>
      </c>
      <c r="E47">
        <v>19.838353862881601</v>
      </c>
      <c r="F47">
        <f t="shared" si="0"/>
        <v>1143.4762343715936</v>
      </c>
    </row>
    <row r="48" spans="1:6" x14ac:dyDescent="0.25">
      <c r="A48">
        <v>2019</v>
      </c>
      <c r="B48">
        <v>64</v>
      </c>
      <c r="C48">
        <v>1.4636360220163E-2</v>
      </c>
      <c r="D48">
        <v>81389.215136388899</v>
      </c>
      <c r="E48">
        <v>19.110047698692899</v>
      </c>
      <c r="F48">
        <f t="shared" si="0"/>
        <v>1191.2418707725308</v>
      </c>
    </row>
    <row r="49" spans="1:6" x14ac:dyDescent="0.25">
      <c r="A49">
        <v>2019</v>
      </c>
      <c r="B49">
        <v>65</v>
      </c>
      <c r="C49">
        <v>1.5882071159899501E-2</v>
      </c>
      <c r="D49">
        <v>80197.973265616398</v>
      </c>
      <c r="E49">
        <v>18.386476979047998</v>
      </c>
      <c r="F49">
        <f t="shared" si="0"/>
        <v>1273.7099182842373</v>
      </c>
    </row>
    <row r="50" spans="1:6" x14ac:dyDescent="0.25">
      <c r="A50">
        <v>2019</v>
      </c>
      <c r="B50">
        <v>66</v>
      </c>
      <c r="C50">
        <v>1.68161324010275E-2</v>
      </c>
      <c r="D50">
        <v>78924.263347332104</v>
      </c>
      <c r="E50">
        <v>17.675135778828199</v>
      </c>
      <c r="F50">
        <f t="shared" si="0"/>
        <v>1327.2008621022985</v>
      </c>
    </row>
    <row r="51" spans="1:6" x14ac:dyDescent="0.25">
      <c r="A51">
        <v>2019</v>
      </c>
      <c r="B51">
        <v>67</v>
      </c>
      <c r="C51">
        <v>1.7898116114446999E-2</v>
      </c>
      <c r="D51">
        <v>77597.062485229806</v>
      </c>
      <c r="E51">
        <v>16.9688950305618</v>
      </c>
      <c r="F51">
        <f t="shared" si="0"/>
        <v>1388.8412345006423</v>
      </c>
    </row>
    <row r="52" spans="1:6" x14ac:dyDescent="0.25">
      <c r="A52">
        <v>2019</v>
      </c>
      <c r="B52">
        <v>68</v>
      </c>
      <c r="C52">
        <v>1.87337040902428E-2</v>
      </c>
      <c r="D52">
        <v>76208.221250729199</v>
      </c>
      <c r="E52">
        <v>16.269029059800602</v>
      </c>
      <c r="F52">
        <f t="shared" si="0"/>
        <v>1427.6622661549138</v>
      </c>
    </row>
    <row r="53" spans="1:6" x14ac:dyDescent="0.25">
      <c r="A53">
        <v>2019</v>
      </c>
      <c r="B53">
        <v>69</v>
      </c>
      <c r="C53">
        <v>1.9870456541000399E-2</v>
      </c>
      <c r="D53">
        <v>74780.558984574294</v>
      </c>
      <c r="E53">
        <v>15.570081205816599</v>
      </c>
      <c r="F53">
        <f t="shared" si="0"/>
        <v>1485.9238474147005</v>
      </c>
    </row>
    <row r="54" spans="1:6" x14ac:dyDescent="0.25">
      <c r="A54">
        <v>2019</v>
      </c>
      <c r="B54">
        <v>70</v>
      </c>
      <c r="C54">
        <v>2.2019807996007501E-2</v>
      </c>
      <c r="D54">
        <v>73294.635137159596</v>
      </c>
      <c r="E54">
        <v>14.8756014257385</v>
      </c>
      <c r="F54">
        <f t="shared" si="0"/>
        <v>1613.9337928576792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G4" sqref="G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</row>
    <row r="2" spans="1:6" x14ac:dyDescent="0.25">
      <c r="A2">
        <v>2019</v>
      </c>
      <c r="B2">
        <v>18</v>
      </c>
      <c r="C2">
        <v>3.02379976442308E-4</v>
      </c>
      <c r="D2">
        <v>99587.218587879994</v>
      </c>
      <c r="E2">
        <v>63.677960378555802</v>
      </c>
      <c r="F2">
        <f>D2*C2</f>
        <v>30.113180810558131</v>
      </c>
    </row>
    <row r="3" spans="1:6" x14ac:dyDescent="0.25">
      <c r="A3">
        <v>2019</v>
      </c>
      <c r="B3">
        <v>19</v>
      </c>
      <c r="C3">
        <v>3.7287110400781201E-4</v>
      </c>
      <c r="D3">
        <v>99557.109959192603</v>
      </c>
      <c r="E3">
        <v>62.697067017459297</v>
      </c>
      <c r="F3">
        <f t="shared" ref="F3:F54" si="0">D3*C3</f>
        <v>37.121969502311281</v>
      </c>
    </row>
    <row r="4" spans="1:6" x14ac:dyDescent="0.25">
      <c r="A4">
        <v>2019</v>
      </c>
      <c r="B4">
        <v>20</v>
      </c>
      <c r="C4">
        <v>4.2728621214268198E-4</v>
      </c>
      <c r="D4">
        <v>99519.994909255096</v>
      </c>
      <c r="E4">
        <v>61.7202628310284</v>
      </c>
      <c r="F4">
        <f t="shared" si="0"/>
        <v>42.523521657234603</v>
      </c>
    </row>
    <row r="5" spans="1:6" x14ac:dyDescent="0.25">
      <c r="A5">
        <v>2019</v>
      </c>
      <c r="B5">
        <v>21</v>
      </c>
      <c r="C5">
        <v>4.77994899658727E-4</v>
      </c>
      <c r="D5">
        <v>99477.480470514696</v>
      </c>
      <c r="E5">
        <v>60.746426995033097</v>
      </c>
      <c r="F5">
        <f t="shared" si="0"/>
        <v>47.549728295806645</v>
      </c>
    </row>
    <row r="6" spans="1:6" x14ac:dyDescent="0.25">
      <c r="A6">
        <v>2019</v>
      </c>
      <c r="B6">
        <v>22</v>
      </c>
      <c r="C6">
        <v>5.2391109539321303E-4</v>
      </c>
      <c r="D6">
        <v>99429.942103767302</v>
      </c>
      <c r="E6">
        <v>59.775231364030198</v>
      </c>
      <c r="F6">
        <f t="shared" si="0"/>
        <v>52.092449882468479</v>
      </c>
    </row>
    <row r="7" spans="1:6" x14ac:dyDescent="0.25">
      <c r="A7">
        <v>2019</v>
      </c>
      <c r="B7">
        <v>23</v>
      </c>
      <c r="C7">
        <v>4.5995026586391599E-4</v>
      </c>
      <c r="D7">
        <v>99377.863296217402</v>
      </c>
      <c r="E7">
        <v>58.806294452572097</v>
      </c>
      <c r="F7">
        <f t="shared" si="0"/>
        <v>45.708874644083096</v>
      </c>
    </row>
    <row r="8" spans="1:6" x14ac:dyDescent="0.25">
      <c r="A8">
        <v>2019</v>
      </c>
      <c r="B8">
        <v>24</v>
      </c>
      <c r="C8">
        <v>4.6318048926195598E-4</v>
      </c>
      <c r="D8">
        <v>99332.164931060906</v>
      </c>
      <c r="E8">
        <v>57.833118617097902</v>
      </c>
      <c r="F8">
        <f t="shared" si="0"/>
        <v>46.008720752218096</v>
      </c>
    </row>
    <row r="9" spans="1:6" x14ac:dyDescent="0.25">
      <c r="A9">
        <v>2019</v>
      </c>
      <c r="B9">
        <v>25</v>
      </c>
      <c r="C9">
        <v>4.1739045987474198E-4</v>
      </c>
      <c r="D9">
        <v>99286.166863012506</v>
      </c>
      <c r="E9">
        <v>56.859680350468302</v>
      </c>
      <c r="F9">
        <f t="shared" si="0"/>
        <v>41.44109884615316</v>
      </c>
    </row>
    <row r="10" spans="1:6" x14ac:dyDescent="0.25">
      <c r="A10">
        <v>2019</v>
      </c>
      <c r="B10">
        <v>26</v>
      </c>
      <c r="C10">
        <v>4.3098807805603401E-4</v>
      </c>
      <c r="D10">
        <v>99244.734410921403</v>
      </c>
      <c r="E10">
        <v>55.883209253738002</v>
      </c>
      <c r="F10">
        <f t="shared" si="0"/>
        <v>42.773297340944559</v>
      </c>
    </row>
    <row r="11" spans="1:6" x14ac:dyDescent="0.25">
      <c r="A11">
        <v>2019</v>
      </c>
      <c r="B11">
        <v>27</v>
      </c>
      <c r="C11">
        <v>4.3777842532698099E-4</v>
      </c>
      <c r="D11">
        <v>99201.970328985306</v>
      </c>
      <c r="E11">
        <v>54.907083901495099</v>
      </c>
      <c r="F11">
        <f t="shared" si="0"/>
        <v>43.42848235995708</v>
      </c>
    </row>
    <row r="12" spans="1:6" x14ac:dyDescent="0.25">
      <c r="A12">
        <v>2019</v>
      </c>
      <c r="B12">
        <v>28</v>
      </c>
      <c r="C12">
        <v>4.5185688533871E-4</v>
      </c>
      <c r="D12">
        <v>99158.551350571302</v>
      </c>
      <c r="E12">
        <v>53.930907363711</v>
      </c>
      <c r="F12">
        <f t="shared" si="0"/>
        <v>44.805474167967681</v>
      </c>
    </row>
    <row r="13" spans="1:6" x14ac:dyDescent="0.25">
      <c r="A13">
        <v>2019</v>
      </c>
      <c r="B13">
        <v>29</v>
      </c>
      <c r="C13">
        <v>5.2616837730731596E-4</v>
      </c>
      <c r="D13">
        <v>99113.755996947802</v>
      </c>
      <c r="E13">
        <v>52.955055942944099</v>
      </c>
      <c r="F13">
        <f t="shared" si="0"/>
        <v>52.150524161747278</v>
      </c>
    </row>
    <row r="14" spans="1:6" x14ac:dyDescent="0.25">
      <c r="A14">
        <v>2019</v>
      </c>
      <c r="B14">
        <v>30</v>
      </c>
      <c r="C14">
        <v>5.9928758190272804E-4</v>
      </c>
      <c r="D14">
        <v>99061.619189155797</v>
      </c>
      <c r="E14">
        <v>51.982663397696001</v>
      </c>
      <c r="F14">
        <f t="shared" si="0"/>
        <v>59.366398223238058</v>
      </c>
    </row>
    <row r="15" spans="1:6" x14ac:dyDescent="0.25">
      <c r="A15">
        <v>2019</v>
      </c>
      <c r="B15">
        <v>31</v>
      </c>
      <c r="C15">
        <v>5.3297449349991104E-4</v>
      </c>
      <c r="D15">
        <v>99002.270574376496</v>
      </c>
      <c r="E15">
        <v>51.013525566210703</v>
      </c>
      <c r="F15">
        <f t="shared" si="0"/>
        <v>52.765685014719459</v>
      </c>
    </row>
    <row r="16" spans="1:6" x14ac:dyDescent="0.25">
      <c r="A16">
        <v>2019</v>
      </c>
      <c r="B16">
        <v>32</v>
      </c>
      <c r="C16">
        <v>5.5775633827634299E-4</v>
      </c>
      <c r="D16">
        <v>98949.518946997705</v>
      </c>
      <c r="E16">
        <v>50.040455163308501</v>
      </c>
      <c r="F16">
        <f t="shared" si="0"/>
        <v>55.189721362083063</v>
      </c>
    </row>
    <row r="17" spans="1:6" x14ac:dyDescent="0.25">
      <c r="A17">
        <v>2019</v>
      </c>
      <c r="B17">
        <v>33</v>
      </c>
      <c r="C17">
        <v>6.1188421607976903E-4</v>
      </c>
      <c r="D17">
        <v>98894.344612553003</v>
      </c>
      <c r="E17">
        <v>49.068094374149403</v>
      </c>
      <c r="F17">
        <f t="shared" si="0"/>
        <v>60.51188852797452</v>
      </c>
    </row>
    <row r="18" spans="1:6" x14ac:dyDescent="0.25">
      <c r="A18">
        <v>2019</v>
      </c>
      <c r="B18">
        <v>34</v>
      </c>
      <c r="C18">
        <v>6.2197705747445197E-4</v>
      </c>
      <c r="D18">
        <v>98833.851231497596</v>
      </c>
      <c r="E18">
        <v>48.0978215192875</v>
      </c>
      <c r="F18">
        <f t="shared" si="0"/>
        <v>61.472387967834614</v>
      </c>
    </row>
    <row r="19" spans="1:6" x14ac:dyDescent="0.25">
      <c r="A19">
        <v>2019</v>
      </c>
      <c r="B19">
        <v>35</v>
      </c>
      <c r="C19">
        <v>6.5034045009615198E-4</v>
      </c>
      <c r="D19">
        <v>98772.397954793894</v>
      </c>
      <c r="E19">
        <v>47.1274354818609</v>
      </c>
      <c r="F19">
        <f t="shared" si="0"/>
        <v>64.235685742996907</v>
      </c>
    </row>
    <row r="20" spans="1:6" x14ac:dyDescent="0.25">
      <c r="A20">
        <v>2019</v>
      </c>
      <c r="B20">
        <v>36</v>
      </c>
      <c r="C20">
        <v>6.8829695508286395E-4</v>
      </c>
      <c r="D20">
        <v>98708.183149793505</v>
      </c>
      <c r="E20">
        <v>46.157769052813101</v>
      </c>
      <c r="F20">
        <f t="shared" si="0"/>
        <v>67.940541903764526</v>
      </c>
    </row>
    <row r="21" spans="1:6" x14ac:dyDescent="0.25">
      <c r="A21">
        <v>2019</v>
      </c>
      <c r="B21">
        <v>37</v>
      </c>
      <c r="C21">
        <v>7.43415404094949E-4</v>
      </c>
      <c r="D21">
        <v>98640.265981479795</v>
      </c>
      <c r="E21">
        <v>45.189205975196998</v>
      </c>
      <c r="F21">
        <f t="shared" si="0"/>
        <v>73.330693194655055</v>
      </c>
    </row>
    <row r="22" spans="1:6" x14ac:dyDescent="0.25">
      <c r="A22">
        <v>2019</v>
      </c>
      <c r="B22">
        <v>38</v>
      </c>
      <c r="C22">
        <v>7.9909533869838498E-4</v>
      </c>
      <c r="D22">
        <v>98566.962535740502</v>
      </c>
      <c r="E22">
        <v>44.222440973020397</v>
      </c>
      <c r="F22">
        <f t="shared" si="0"/>
        <v>78.764400311968586</v>
      </c>
    </row>
    <row r="23" spans="1:6" x14ac:dyDescent="0.25">
      <c r="A23">
        <v>2019</v>
      </c>
      <c r="B23">
        <v>39</v>
      </c>
      <c r="C23">
        <v>9.0145416962941803E-4</v>
      </c>
      <c r="D23">
        <v>98488.229592992298</v>
      </c>
      <c r="E23">
        <v>43.257393336934001</v>
      </c>
      <c r="F23">
        <f t="shared" si="0"/>
        <v>88.782625226022347</v>
      </c>
    </row>
    <row r="24" spans="1:6" x14ac:dyDescent="0.25">
      <c r="A24">
        <v>2019</v>
      </c>
      <c r="B24">
        <v>40</v>
      </c>
      <c r="C24">
        <v>9.6669648935666995E-4</v>
      </c>
      <c r="D24">
        <v>98399.486966471595</v>
      </c>
      <c r="E24">
        <v>42.295954548022301</v>
      </c>
      <c r="F24">
        <f t="shared" si="0"/>
        <v>95.12243860498549</v>
      </c>
    </row>
    <row r="25" spans="1:6" x14ac:dyDescent="0.25">
      <c r="A25">
        <v>2019</v>
      </c>
      <c r="B25">
        <v>41</v>
      </c>
      <c r="C25">
        <v>1.00096425892215E-3</v>
      </c>
      <c r="D25">
        <v>98304.410482918101</v>
      </c>
      <c r="E25">
        <v>41.336378089200799</v>
      </c>
      <c r="F25">
        <f t="shared" si="0"/>
        <v>98.399201387812951</v>
      </c>
    </row>
    <row r="26" spans="1:6" x14ac:dyDescent="0.25">
      <c r="A26">
        <v>2019</v>
      </c>
      <c r="B26">
        <v>42</v>
      </c>
      <c r="C26">
        <v>1.0634076114861199E-3</v>
      </c>
      <c r="D26">
        <v>98206.060503937202</v>
      </c>
      <c r="E26">
        <v>40.377274311960598</v>
      </c>
      <c r="F26">
        <f t="shared" si="0"/>
        <v>104.43307223395324</v>
      </c>
    </row>
    <row r="27" spans="1:6" x14ac:dyDescent="0.25">
      <c r="A27">
        <v>2019</v>
      </c>
      <c r="B27">
        <v>43</v>
      </c>
      <c r="C27">
        <v>1.21535858360473E-3</v>
      </c>
      <c r="D27">
        <v>98101.682929656701</v>
      </c>
      <c r="E27">
        <v>39.419702668307799</v>
      </c>
      <c r="F27">
        <f t="shared" si="0"/>
        <v>119.2287224146279</v>
      </c>
    </row>
    <row r="28" spans="1:6" x14ac:dyDescent="0.25">
      <c r="A28">
        <v>2019</v>
      </c>
      <c r="B28">
        <v>44</v>
      </c>
      <c r="C28">
        <v>1.28237480559568E-3</v>
      </c>
      <c r="D28">
        <v>97982.526616066301</v>
      </c>
      <c r="E28">
        <v>38.467032824572897</v>
      </c>
      <c r="F28">
        <f t="shared" si="0"/>
        <v>125.65032352105156</v>
      </c>
    </row>
    <row r="29" spans="1:6" x14ac:dyDescent="0.25">
      <c r="A29">
        <v>2019</v>
      </c>
      <c r="B29">
        <v>45</v>
      </c>
      <c r="C29">
        <v>1.4581317881436199E-3</v>
      </c>
      <c r="D29">
        <v>97856.956806325499</v>
      </c>
      <c r="E29">
        <v>37.515752029050603</v>
      </c>
      <c r="F29">
        <f t="shared" si="0"/>
        <v>142.68833941030039</v>
      </c>
    </row>
    <row r="30" spans="1:6" x14ac:dyDescent="0.25">
      <c r="A30">
        <v>2019</v>
      </c>
      <c r="B30">
        <v>46</v>
      </c>
      <c r="C30">
        <v>1.58366944290072E-3</v>
      </c>
      <c r="D30">
        <v>97714.372420328</v>
      </c>
      <c r="E30">
        <v>36.569765252945501</v>
      </c>
      <c r="F30">
        <f t="shared" si="0"/>
        <v>154.74726573429433</v>
      </c>
    </row>
    <row r="31" spans="1:6" x14ac:dyDescent="0.25">
      <c r="A31">
        <v>2019</v>
      </c>
      <c r="B31">
        <v>47</v>
      </c>
      <c r="C31">
        <v>1.8412950383225101E-3</v>
      </c>
      <c r="D31">
        <v>97559.747591901702</v>
      </c>
      <c r="E31">
        <v>35.6269331054798</v>
      </c>
      <c r="F31">
        <f t="shared" si="0"/>
        <v>179.63627918096506</v>
      </c>
    </row>
    <row r="32" spans="1:6" x14ac:dyDescent="0.25">
      <c r="A32">
        <v>2019</v>
      </c>
      <c r="B32">
        <v>48</v>
      </c>
      <c r="C32">
        <v>1.9964111666093101E-3</v>
      </c>
      <c r="D32">
        <v>97380.276542297303</v>
      </c>
      <c r="E32">
        <v>34.691671754595099</v>
      </c>
      <c r="F32">
        <f t="shared" si="0"/>
        <v>194.41107149654499</v>
      </c>
    </row>
    <row r="33" spans="1:6" x14ac:dyDescent="0.25">
      <c r="A33">
        <v>2019</v>
      </c>
      <c r="B33">
        <v>49</v>
      </c>
      <c r="C33">
        <v>2.2124250490774002E-3</v>
      </c>
      <c r="D33">
        <v>97186.059339497006</v>
      </c>
      <c r="E33">
        <v>33.760000596122097</v>
      </c>
      <c r="F33">
        <f t="shared" si="0"/>
        <v>215.01687210382579</v>
      </c>
    </row>
    <row r="34" spans="1:6" x14ac:dyDescent="0.25">
      <c r="A34">
        <v>2019</v>
      </c>
      <c r="B34">
        <v>50</v>
      </c>
      <c r="C34">
        <v>2.4510413774176702E-3</v>
      </c>
      <c r="D34">
        <v>96971.280058923294</v>
      </c>
      <c r="E34">
        <v>32.833667345654298</v>
      </c>
      <c r="F34">
        <f t="shared" si="0"/>
        <v>237.68061984557801</v>
      </c>
    </row>
    <row r="35" spans="1:6" x14ac:dyDescent="0.25">
      <c r="A35">
        <v>2019</v>
      </c>
      <c r="B35">
        <v>51</v>
      </c>
      <c r="C35">
        <v>2.7620573975835499E-3</v>
      </c>
      <c r="D35">
        <v>96733.890365058804</v>
      </c>
      <c r="E35">
        <v>31.9130157453076</v>
      </c>
      <c r="F35">
        <f t="shared" si="0"/>
        <v>267.18455747984677</v>
      </c>
    </row>
    <row r="36" spans="1:6" x14ac:dyDescent="0.25">
      <c r="A36">
        <v>2019</v>
      </c>
      <c r="B36">
        <v>52</v>
      </c>
      <c r="C36">
        <v>2.8573612102853799E-3</v>
      </c>
      <c r="D36">
        <v>96467.074288238393</v>
      </c>
      <c r="E36">
        <v>30.999900287874102</v>
      </c>
      <c r="F36">
        <f t="shared" si="0"/>
        <v>275.64127614093053</v>
      </c>
    </row>
    <row r="37" spans="1:6" x14ac:dyDescent="0.25">
      <c r="A37">
        <v>2019</v>
      </c>
      <c r="B37">
        <v>53</v>
      </c>
      <c r="C37">
        <v>3.2690432211523002E-3</v>
      </c>
      <c r="D37">
        <v>96191.826253626103</v>
      </c>
      <c r="E37">
        <v>30.087174206429001</v>
      </c>
      <c r="F37">
        <f t="shared" si="0"/>
        <v>314.45523754467627</v>
      </c>
    </row>
    <row r="38" spans="1:6" x14ac:dyDescent="0.25">
      <c r="A38">
        <v>2019</v>
      </c>
      <c r="B38">
        <v>54</v>
      </c>
      <c r="C38">
        <v>3.7570824199104902E-3</v>
      </c>
      <c r="D38">
        <v>95877.884161215901</v>
      </c>
      <c r="E38">
        <v>29.184054310324999</v>
      </c>
      <c r="F38">
        <f t="shared" si="0"/>
        <v>360.2211130403187</v>
      </c>
    </row>
    <row r="39" spans="1:6" x14ac:dyDescent="0.25">
      <c r="A39">
        <v>2019</v>
      </c>
      <c r="B39">
        <v>55</v>
      </c>
      <c r="C39">
        <v>3.83186929576468E-3</v>
      </c>
      <c r="D39">
        <v>95518.338469574199</v>
      </c>
      <c r="E39">
        <v>28.292025494825701</v>
      </c>
      <c r="F39">
        <f t="shared" si="0"/>
        <v>366.0137883640196</v>
      </c>
    </row>
    <row r="40" spans="1:6" x14ac:dyDescent="0.25">
      <c r="A40">
        <v>2019</v>
      </c>
      <c r="B40">
        <v>56</v>
      </c>
      <c r="C40">
        <v>4.4294090468036899E-3</v>
      </c>
      <c r="D40">
        <v>95153.024598712698</v>
      </c>
      <c r="E40">
        <v>27.398725333904999</v>
      </c>
      <c r="F40">
        <f t="shared" si="0"/>
        <v>421.47166798827209</v>
      </c>
    </row>
    <row r="41" spans="1:6" x14ac:dyDescent="0.25">
      <c r="A41">
        <v>2019</v>
      </c>
      <c r="B41">
        <v>57</v>
      </c>
      <c r="C41">
        <v>4.7959093900825202E-3</v>
      </c>
      <c r="D41">
        <v>94732.4843032192</v>
      </c>
      <c r="E41">
        <v>26.5181352489254</v>
      </c>
      <c r="F41">
        <f t="shared" si="0"/>
        <v>454.3284110156539</v>
      </c>
    </row>
    <row r="42" spans="1:6" x14ac:dyDescent="0.25">
      <c r="A42">
        <v>2019</v>
      </c>
      <c r="B42">
        <v>58</v>
      </c>
      <c r="C42">
        <v>5.3372944653148997E-3</v>
      </c>
      <c r="D42">
        <v>94279.242744926203</v>
      </c>
      <c r="E42">
        <v>25.643215805586301</v>
      </c>
      <c r="F42">
        <f t="shared" si="0"/>
        <v>503.19608049657455</v>
      </c>
    </row>
    <row r="43" spans="1:6" x14ac:dyDescent="0.25">
      <c r="A43">
        <v>2019</v>
      </c>
      <c r="B43">
        <v>59</v>
      </c>
      <c r="C43">
        <v>5.8147219271619602E-3</v>
      </c>
      <c r="D43">
        <v>93777.385943194793</v>
      </c>
      <c r="E43">
        <v>24.777771634185299</v>
      </c>
      <c r="F43">
        <f t="shared" si="0"/>
        <v>545.28942231582459</v>
      </c>
    </row>
    <row r="44" spans="1:6" x14ac:dyDescent="0.25">
      <c r="A44">
        <v>2019</v>
      </c>
      <c r="B44">
        <v>60</v>
      </c>
      <c r="C44">
        <v>6.5367539643999203E-3</v>
      </c>
      <c r="D44">
        <v>93233.677278226998</v>
      </c>
      <c r="E44">
        <v>23.919351749750401</v>
      </c>
      <c r="F44">
        <f t="shared" si="0"/>
        <v>609.44560956403313</v>
      </c>
    </row>
    <row r="45" spans="1:6" x14ac:dyDescent="0.25">
      <c r="A45">
        <v>2019</v>
      </c>
      <c r="B45">
        <v>61</v>
      </c>
      <c r="C45">
        <v>7.2168341891004498E-3</v>
      </c>
      <c r="D45">
        <v>92626.217077600304</v>
      </c>
      <c r="E45">
        <v>23.072940275346099</v>
      </c>
      <c r="F45">
        <f t="shared" si="0"/>
        <v>668.46805021266584</v>
      </c>
    </row>
    <row r="46" spans="1:6" x14ac:dyDescent="0.25">
      <c r="A46">
        <v>2019</v>
      </c>
      <c r="B46">
        <v>62</v>
      </c>
      <c r="C46">
        <v>7.6559169605115301E-3</v>
      </c>
      <c r="D46">
        <v>91960.1524663171</v>
      </c>
      <c r="E46">
        <v>22.2364354010803</v>
      </c>
      <c r="F46">
        <f t="shared" si="0"/>
        <v>704.03929095810327</v>
      </c>
    </row>
    <row r="47" spans="1:6" x14ac:dyDescent="0.25">
      <c r="A47">
        <v>2019</v>
      </c>
      <c r="B47">
        <v>63</v>
      </c>
      <c r="C47">
        <v>8.5948708513763905E-3</v>
      </c>
      <c r="D47">
        <v>91258.7979313986</v>
      </c>
      <c r="E47">
        <v>21.403487212928301</v>
      </c>
      <c r="F47">
        <f t="shared" si="0"/>
        <v>784.35758227222584</v>
      </c>
    </row>
    <row r="48" spans="1:6" x14ac:dyDescent="0.25">
      <c r="A48">
        <v>2019</v>
      </c>
      <c r="B48">
        <v>64</v>
      </c>
      <c r="C48">
        <v>9.6236419186025504E-3</v>
      </c>
      <c r="D48">
        <v>90477.796651693294</v>
      </c>
      <c r="E48">
        <v>20.5839254073557</v>
      </c>
      <c r="F48">
        <f t="shared" si="0"/>
        <v>870.72591656003306</v>
      </c>
    </row>
    <row r="49" spans="1:6" x14ac:dyDescent="0.25">
      <c r="A49">
        <v>2019</v>
      </c>
      <c r="B49">
        <v>65</v>
      </c>
      <c r="C49">
        <v>1.0149650811267201E-2</v>
      </c>
      <c r="D49">
        <v>89611.240448434502</v>
      </c>
      <c r="E49">
        <v>19.778140441769199</v>
      </c>
      <c r="F49">
        <f t="shared" si="0"/>
        <v>909.52279931611338</v>
      </c>
    </row>
    <row r="50" spans="1:6" x14ac:dyDescent="0.25">
      <c r="A50">
        <v>2019</v>
      </c>
      <c r="B50">
        <v>66</v>
      </c>
      <c r="C50">
        <v>1.1716435237400499E-2</v>
      </c>
      <c r="D50">
        <v>88706.310013082097</v>
      </c>
      <c r="E50">
        <v>18.9748048731967</v>
      </c>
      <c r="F50">
        <f t="shared" si="0"/>
        <v>1039.3217364170478</v>
      </c>
    </row>
    <row r="51" spans="1:6" x14ac:dyDescent="0.25">
      <c r="A51">
        <v>2019</v>
      </c>
      <c r="B51">
        <v>67</v>
      </c>
      <c r="C51">
        <v>1.2554043308988299E-2</v>
      </c>
      <c r="D51">
        <v>87673.041389122707</v>
      </c>
      <c r="E51">
        <v>18.1925392634584</v>
      </c>
      <c r="F51">
        <f t="shared" si="0"/>
        <v>1100.6511586297702</v>
      </c>
    </row>
    <row r="52" spans="1:6" x14ac:dyDescent="0.25">
      <c r="A52">
        <v>2019</v>
      </c>
      <c r="B52">
        <v>68</v>
      </c>
      <c r="C52">
        <v>1.3982191670702601E-2</v>
      </c>
      <c r="D52">
        <v>86579.255945408499</v>
      </c>
      <c r="E52">
        <v>17.416055181877901</v>
      </c>
      <c r="F52">
        <f t="shared" si="0"/>
        <v>1210.5677513355192</v>
      </c>
    </row>
    <row r="53" spans="1:6" x14ac:dyDescent="0.25">
      <c r="A53">
        <v>2019</v>
      </c>
      <c r="B53">
        <v>69</v>
      </c>
      <c r="C53">
        <v>1.5721913125290501E-2</v>
      </c>
      <c r="D53">
        <v>85377.092632999804</v>
      </c>
      <c r="E53">
        <v>16.654243907954001</v>
      </c>
      <c r="F53">
        <f t="shared" si="0"/>
        <v>1342.2912332659025</v>
      </c>
    </row>
    <row r="54" spans="1:6" x14ac:dyDescent="0.25">
      <c r="A54">
        <v>2019</v>
      </c>
      <c r="B54">
        <v>70</v>
      </c>
      <c r="C54">
        <v>1.7291781107614701E-2</v>
      </c>
      <c r="D54">
        <v>84045.2707933645</v>
      </c>
      <c r="E54">
        <v>15.9102318372725</v>
      </c>
      <c r="F54">
        <f t="shared" si="0"/>
        <v>1453.2924256890619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selection activeCell="F1" sqref="F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18</v>
      </c>
      <c r="C2">
        <v>8.0000000000000004E-4</v>
      </c>
      <c r="D2">
        <v>100000</v>
      </c>
      <c r="E2">
        <f>D2*C2</f>
        <v>80</v>
      </c>
    </row>
    <row r="3" spans="1:5" x14ac:dyDescent="0.25">
      <c r="A3" t="s">
        <v>6</v>
      </c>
      <c r="B3">
        <v>19</v>
      </c>
      <c r="C3">
        <v>8.4800000000000001E-4</v>
      </c>
      <c r="D3">
        <f>D2*(1-C2)</f>
        <v>99920</v>
      </c>
      <c r="E3">
        <f t="shared" ref="E3:E54" si="0">D3*C3</f>
        <v>84.732160000000007</v>
      </c>
    </row>
    <row r="4" spans="1:5" x14ac:dyDescent="0.25">
      <c r="A4" t="s">
        <v>6</v>
      </c>
      <c r="B4">
        <v>20</v>
      </c>
      <c r="C4">
        <v>8.8800000000000001E-4</v>
      </c>
      <c r="D4">
        <f t="shared" ref="D4:D54" si="1">D3*(1-C3)</f>
        <v>99835.26784</v>
      </c>
      <c r="E4">
        <f t="shared" si="0"/>
        <v>88.653717841919999</v>
      </c>
    </row>
    <row r="5" spans="1:5" x14ac:dyDescent="0.25">
      <c r="A5" t="s">
        <v>6</v>
      </c>
      <c r="B5">
        <v>21</v>
      </c>
      <c r="C5">
        <v>9.19E-4</v>
      </c>
      <c r="D5">
        <f t="shared" si="1"/>
        <v>99746.614122158076</v>
      </c>
      <c r="E5">
        <f t="shared" si="0"/>
        <v>91.667138378263274</v>
      </c>
    </row>
    <row r="6" spans="1:5" x14ac:dyDescent="0.25">
      <c r="A6" t="s">
        <v>6</v>
      </c>
      <c r="B6">
        <v>22</v>
      </c>
      <c r="C6">
        <v>9.4300000000000004E-4</v>
      </c>
      <c r="D6">
        <f t="shared" si="1"/>
        <v>99654.94698377981</v>
      </c>
      <c r="E6">
        <f t="shared" si="0"/>
        <v>93.974615005704365</v>
      </c>
    </row>
    <row r="7" spans="1:5" x14ac:dyDescent="0.25">
      <c r="A7" t="s">
        <v>6</v>
      </c>
      <c r="B7">
        <v>23</v>
      </c>
      <c r="C7">
        <v>9.6100000000000005E-4</v>
      </c>
      <c r="D7">
        <f t="shared" si="1"/>
        <v>99560.972368774106</v>
      </c>
      <c r="E7">
        <f t="shared" si="0"/>
        <v>95.678094446391924</v>
      </c>
    </row>
    <row r="8" spans="1:5" x14ac:dyDescent="0.25">
      <c r="A8" t="s">
        <v>6</v>
      </c>
      <c r="B8">
        <v>24</v>
      </c>
      <c r="C8">
        <v>9.7400000000000004E-4</v>
      </c>
      <c r="D8">
        <f t="shared" si="1"/>
        <v>99465.294274327709</v>
      </c>
      <c r="E8">
        <f t="shared" si="0"/>
        <v>96.879196623195199</v>
      </c>
    </row>
    <row r="9" spans="1:5" x14ac:dyDescent="0.25">
      <c r="A9" t="s">
        <v>6</v>
      </c>
      <c r="B9">
        <v>25</v>
      </c>
      <c r="C9">
        <v>9.8400000000000007E-4</v>
      </c>
      <c r="D9">
        <f t="shared" si="1"/>
        <v>99368.415077704514</v>
      </c>
      <c r="E9">
        <f t="shared" si="0"/>
        <v>97.77852043646125</v>
      </c>
    </row>
    <row r="10" spans="1:5" x14ac:dyDescent="0.25">
      <c r="A10" t="s">
        <v>6</v>
      </c>
      <c r="B10">
        <v>26</v>
      </c>
      <c r="C10">
        <v>9.9400000000000009E-4</v>
      </c>
      <c r="D10">
        <f t="shared" si="1"/>
        <v>99270.636557268052</v>
      </c>
      <c r="E10">
        <f t="shared" si="0"/>
        <v>98.675012737924447</v>
      </c>
    </row>
    <row r="11" spans="1:5" x14ac:dyDescent="0.25">
      <c r="A11" t="s">
        <v>6</v>
      </c>
      <c r="B11">
        <v>27</v>
      </c>
      <c r="C11">
        <v>1.0039999999999999E-3</v>
      </c>
      <c r="D11">
        <f t="shared" si="1"/>
        <v>99171.961544530117</v>
      </c>
      <c r="E11">
        <f t="shared" si="0"/>
        <v>99.568649390708231</v>
      </c>
    </row>
    <row r="12" spans="1:5" x14ac:dyDescent="0.25">
      <c r="A12" t="s">
        <v>6</v>
      </c>
      <c r="B12">
        <v>28</v>
      </c>
      <c r="C12">
        <v>1.0169999999999999E-3</v>
      </c>
      <c r="D12">
        <f t="shared" si="1"/>
        <v>99072.392895139405</v>
      </c>
      <c r="E12">
        <f t="shared" si="0"/>
        <v>100.75662357435677</v>
      </c>
    </row>
    <row r="13" spans="1:5" x14ac:dyDescent="0.25">
      <c r="A13" t="s">
        <v>6</v>
      </c>
      <c r="B13">
        <v>29</v>
      </c>
      <c r="C13">
        <v>1.034E-3</v>
      </c>
      <c r="D13">
        <f t="shared" si="1"/>
        <v>98971.636271565047</v>
      </c>
      <c r="E13">
        <f t="shared" si="0"/>
        <v>102.33667190479825</v>
      </c>
    </row>
    <row r="14" spans="1:5" x14ac:dyDescent="0.25">
      <c r="A14" t="s">
        <v>6</v>
      </c>
      <c r="B14">
        <v>30</v>
      </c>
      <c r="C14">
        <v>1.0560000000000001E-3</v>
      </c>
      <c r="D14">
        <f t="shared" si="1"/>
        <v>98869.299599660255</v>
      </c>
      <c r="E14">
        <f t="shared" si="0"/>
        <v>104.40598037724124</v>
      </c>
    </row>
    <row r="15" spans="1:5" x14ac:dyDescent="0.25">
      <c r="A15" t="s">
        <v>6</v>
      </c>
      <c r="B15">
        <v>31</v>
      </c>
      <c r="C15">
        <v>1.0839999999999999E-3</v>
      </c>
      <c r="D15">
        <f t="shared" si="1"/>
        <v>98764.893619283015</v>
      </c>
      <c r="E15">
        <f t="shared" si="0"/>
        <v>107.06114468330277</v>
      </c>
    </row>
    <row r="16" spans="1:5" x14ac:dyDescent="0.25">
      <c r="A16" t="s">
        <v>6</v>
      </c>
      <c r="B16">
        <v>32</v>
      </c>
      <c r="C16">
        <v>1.119E-3</v>
      </c>
      <c r="D16">
        <f t="shared" si="1"/>
        <v>98657.832474599709</v>
      </c>
      <c r="E16">
        <f t="shared" si="0"/>
        <v>110.39811453907707</v>
      </c>
    </row>
    <row r="17" spans="1:5" x14ac:dyDescent="0.25">
      <c r="A17" t="s">
        <v>6</v>
      </c>
      <c r="B17">
        <v>33</v>
      </c>
      <c r="C17">
        <v>1.1640000000000001E-3</v>
      </c>
      <c r="D17">
        <f t="shared" si="1"/>
        <v>98547.434360060637</v>
      </c>
      <c r="E17">
        <f t="shared" si="0"/>
        <v>114.7092135951106</v>
      </c>
    </row>
    <row r="18" spans="1:5" x14ac:dyDescent="0.25">
      <c r="A18" t="s">
        <v>6</v>
      </c>
      <c r="B18">
        <v>34</v>
      </c>
      <c r="C18">
        <v>1.2179999999999999E-3</v>
      </c>
      <c r="D18">
        <f t="shared" si="1"/>
        <v>98432.725146465527</v>
      </c>
      <c r="E18">
        <f t="shared" si="0"/>
        <v>119.89105922839501</v>
      </c>
    </row>
    <row r="19" spans="1:5" x14ac:dyDescent="0.25">
      <c r="A19" t="s">
        <v>6</v>
      </c>
      <c r="B19">
        <v>35</v>
      </c>
      <c r="C19">
        <v>1.2819999999999999E-3</v>
      </c>
      <c r="D19">
        <f t="shared" si="1"/>
        <v>98312.834087237134</v>
      </c>
      <c r="E19">
        <f t="shared" si="0"/>
        <v>126.03705329983799</v>
      </c>
    </row>
    <row r="20" spans="1:5" x14ac:dyDescent="0.25">
      <c r="A20" t="s">
        <v>6</v>
      </c>
      <c r="B20">
        <v>36</v>
      </c>
      <c r="C20">
        <v>1.358E-3</v>
      </c>
      <c r="D20">
        <f t="shared" si="1"/>
        <v>98186.797033937299</v>
      </c>
      <c r="E20">
        <f t="shared" si="0"/>
        <v>133.33767037208685</v>
      </c>
    </row>
    <row r="21" spans="1:5" x14ac:dyDescent="0.25">
      <c r="A21" t="s">
        <v>6</v>
      </c>
      <c r="B21">
        <v>37</v>
      </c>
      <c r="C21">
        <v>1.4469999999999999E-3</v>
      </c>
      <c r="D21">
        <f t="shared" si="1"/>
        <v>98053.459363565213</v>
      </c>
      <c r="E21">
        <f t="shared" si="0"/>
        <v>141.88335569907886</v>
      </c>
    </row>
    <row r="22" spans="1:5" x14ac:dyDescent="0.25">
      <c r="A22" t="s">
        <v>6</v>
      </c>
      <c r="B22">
        <v>38</v>
      </c>
      <c r="C22">
        <v>1.549E-3</v>
      </c>
      <c r="D22">
        <f t="shared" si="1"/>
        <v>97911.576007866141</v>
      </c>
      <c r="E22">
        <f t="shared" si="0"/>
        <v>151.66503123618466</v>
      </c>
    </row>
    <row r="23" spans="1:5" x14ac:dyDescent="0.25">
      <c r="A23" t="s">
        <v>6</v>
      </c>
      <c r="B23">
        <v>39</v>
      </c>
      <c r="C23">
        <v>1.6670000000000001E-3</v>
      </c>
      <c r="D23">
        <f t="shared" si="1"/>
        <v>97759.910976629952</v>
      </c>
      <c r="E23">
        <f t="shared" si="0"/>
        <v>162.96577159804212</v>
      </c>
    </row>
    <row r="24" spans="1:5" x14ac:dyDescent="0.25">
      <c r="A24" t="s">
        <v>6</v>
      </c>
      <c r="B24">
        <v>40</v>
      </c>
      <c r="C24">
        <v>1.8029999999999999E-3</v>
      </c>
      <c r="D24">
        <f t="shared" si="1"/>
        <v>97596.945205031909</v>
      </c>
      <c r="E24">
        <f t="shared" si="0"/>
        <v>175.96729220467253</v>
      </c>
    </row>
    <row r="25" spans="1:5" x14ac:dyDescent="0.25">
      <c r="A25" t="s">
        <v>6</v>
      </c>
      <c r="B25">
        <v>41</v>
      </c>
      <c r="C25">
        <v>1.9589999999999998E-3</v>
      </c>
      <c r="D25">
        <f t="shared" si="1"/>
        <v>97420.977912827235</v>
      </c>
      <c r="E25">
        <f t="shared" si="0"/>
        <v>190.84769573122853</v>
      </c>
    </row>
    <row r="26" spans="1:5" x14ac:dyDescent="0.25">
      <c r="A26" t="s">
        <v>6</v>
      </c>
      <c r="B26">
        <v>42</v>
      </c>
      <c r="C26">
        <v>2.14E-3</v>
      </c>
      <c r="D26">
        <f t="shared" si="1"/>
        <v>97230.130217095997</v>
      </c>
      <c r="E26">
        <f t="shared" si="0"/>
        <v>208.07247866458542</v>
      </c>
    </row>
    <row r="27" spans="1:5" x14ac:dyDescent="0.25">
      <c r="A27" t="s">
        <v>6</v>
      </c>
      <c r="B27">
        <v>43</v>
      </c>
      <c r="C27">
        <v>2.3500000000000001E-3</v>
      </c>
      <c r="D27">
        <f t="shared" si="1"/>
        <v>97022.057738431409</v>
      </c>
      <c r="E27">
        <f t="shared" si="0"/>
        <v>228.00183568531381</v>
      </c>
    </row>
    <row r="28" spans="1:5" x14ac:dyDescent="0.25">
      <c r="A28" t="s">
        <v>6</v>
      </c>
      <c r="B28">
        <v>44</v>
      </c>
      <c r="C28">
        <v>2.5929999999999998E-3</v>
      </c>
      <c r="D28">
        <f t="shared" si="1"/>
        <v>96794.055902746099</v>
      </c>
      <c r="E28">
        <f t="shared" si="0"/>
        <v>250.98698695582061</v>
      </c>
    </row>
    <row r="29" spans="1:5" x14ac:dyDescent="0.25">
      <c r="A29" t="s">
        <v>6</v>
      </c>
      <c r="B29">
        <v>45</v>
      </c>
      <c r="C29">
        <v>2.8739999999999998E-3</v>
      </c>
      <c r="D29">
        <f t="shared" si="1"/>
        <v>96543.068915790282</v>
      </c>
      <c r="E29">
        <f t="shared" si="0"/>
        <v>277.46478006398127</v>
      </c>
    </row>
    <row r="30" spans="1:5" x14ac:dyDescent="0.25">
      <c r="A30" t="s">
        <v>6</v>
      </c>
      <c r="B30">
        <v>46</v>
      </c>
      <c r="C30">
        <v>3.1970000000000002E-3</v>
      </c>
      <c r="D30">
        <f t="shared" si="1"/>
        <v>96265.604135726302</v>
      </c>
      <c r="E30">
        <f t="shared" si="0"/>
        <v>307.761136421917</v>
      </c>
    </row>
    <row r="31" spans="1:5" x14ac:dyDescent="0.25">
      <c r="A31" t="s">
        <v>6</v>
      </c>
      <c r="B31">
        <v>47</v>
      </c>
      <c r="C31">
        <v>3.5669999999999999E-3</v>
      </c>
      <c r="D31">
        <f t="shared" si="1"/>
        <v>95957.842999304383</v>
      </c>
      <c r="E31">
        <f t="shared" si="0"/>
        <v>342.28162597851872</v>
      </c>
    </row>
    <row r="32" spans="1:5" x14ac:dyDescent="0.25">
      <c r="A32" t="s">
        <v>6</v>
      </c>
      <c r="B32">
        <v>48</v>
      </c>
      <c r="C32">
        <v>3.9830000000000004E-3</v>
      </c>
      <c r="D32">
        <f t="shared" si="1"/>
        <v>95615.561373325865</v>
      </c>
      <c r="E32">
        <f t="shared" si="0"/>
        <v>380.83678094995696</v>
      </c>
    </row>
    <row r="33" spans="1:5" x14ac:dyDescent="0.25">
      <c r="A33" t="s">
        <v>6</v>
      </c>
      <c r="B33">
        <v>49</v>
      </c>
      <c r="C33">
        <v>4.444E-3</v>
      </c>
      <c r="D33">
        <f t="shared" si="1"/>
        <v>95234.724592375918</v>
      </c>
      <c r="E33">
        <f t="shared" si="0"/>
        <v>423.22311608851857</v>
      </c>
    </row>
    <row r="34" spans="1:5" x14ac:dyDescent="0.25">
      <c r="A34" t="s">
        <v>6</v>
      </c>
      <c r="B34">
        <v>50</v>
      </c>
      <c r="C34">
        <v>4.9459999999999999E-3</v>
      </c>
      <c r="D34">
        <f t="shared" si="1"/>
        <v>94811.501476287405</v>
      </c>
      <c r="E34">
        <f t="shared" si="0"/>
        <v>468.93768630171752</v>
      </c>
    </row>
    <row r="35" spans="1:5" x14ac:dyDescent="0.25">
      <c r="A35" t="s">
        <v>6</v>
      </c>
      <c r="B35">
        <v>51</v>
      </c>
      <c r="C35">
        <v>5.483E-3</v>
      </c>
      <c r="D35">
        <f t="shared" si="1"/>
        <v>94342.563789985681</v>
      </c>
      <c r="E35">
        <f t="shared" si="0"/>
        <v>517.28027726049152</v>
      </c>
    </row>
    <row r="36" spans="1:5" x14ac:dyDescent="0.25">
      <c r="A36" t="s">
        <v>6</v>
      </c>
      <c r="B36">
        <v>52</v>
      </c>
      <c r="C36">
        <v>6.051E-3</v>
      </c>
      <c r="D36">
        <f t="shared" si="1"/>
        <v>93825.283512725189</v>
      </c>
      <c r="E36">
        <f t="shared" si="0"/>
        <v>567.73679053550006</v>
      </c>
    </row>
    <row r="37" spans="1:5" x14ac:dyDescent="0.25">
      <c r="A37" t="s">
        <v>6</v>
      </c>
      <c r="B37">
        <v>53</v>
      </c>
      <c r="C37">
        <v>6.6429999999999996E-3</v>
      </c>
      <c r="D37">
        <f t="shared" si="1"/>
        <v>93257.546722189683</v>
      </c>
      <c r="E37">
        <f t="shared" si="0"/>
        <v>619.50988287550604</v>
      </c>
    </row>
    <row r="38" spans="1:5" x14ac:dyDescent="0.25">
      <c r="A38" t="s">
        <v>6</v>
      </c>
      <c r="B38">
        <v>54</v>
      </c>
      <c r="C38">
        <v>7.2560000000000003E-3</v>
      </c>
      <c r="D38">
        <f t="shared" si="1"/>
        <v>92638.036839314183</v>
      </c>
      <c r="E38">
        <f t="shared" si="0"/>
        <v>672.18159530606374</v>
      </c>
    </row>
    <row r="39" spans="1:5" x14ac:dyDescent="0.25">
      <c r="A39" t="s">
        <v>6</v>
      </c>
      <c r="B39">
        <v>55</v>
      </c>
      <c r="C39">
        <v>7.8879999999999992E-3</v>
      </c>
      <c r="D39">
        <f t="shared" si="1"/>
        <v>91965.855244008111</v>
      </c>
      <c r="E39">
        <f t="shared" si="0"/>
        <v>725.42666616473593</v>
      </c>
    </row>
    <row r="40" spans="1:5" x14ac:dyDescent="0.25">
      <c r="A40" t="s">
        <v>6</v>
      </c>
      <c r="B40">
        <v>56</v>
      </c>
      <c r="C40">
        <v>8.5430000000000002E-3</v>
      </c>
      <c r="D40">
        <f t="shared" si="1"/>
        <v>91240.42857784337</v>
      </c>
      <c r="E40">
        <f t="shared" si="0"/>
        <v>779.46698134051587</v>
      </c>
    </row>
    <row r="41" spans="1:5" x14ac:dyDescent="0.25">
      <c r="A41" t="s">
        <v>6</v>
      </c>
      <c r="B41">
        <v>57</v>
      </c>
      <c r="C41">
        <v>9.2250000000000006E-3</v>
      </c>
      <c r="D41">
        <f t="shared" si="1"/>
        <v>90460.96159650285</v>
      </c>
      <c r="E41">
        <f t="shared" si="0"/>
        <v>834.50237072773882</v>
      </c>
    </row>
    <row r="42" spans="1:5" x14ac:dyDescent="0.25">
      <c r="A42" t="s">
        <v>6</v>
      </c>
      <c r="B42">
        <v>58</v>
      </c>
      <c r="C42">
        <v>9.9380000000000007E-3</v>
      </c>
      <c r="D42">
        <f t="shared" si="1"/>
        <v>89626.459225775106</v>
      </c>
      <c r="E42">
        <f t="shared" si="0"/>
        <v>890.70775178575309</v>
      </c>
    </row>
    <row r="43" spans="1:5" x14ac:dyDescent="0.25">
      <c r="A43" t="s">
        <v>6</v>
      </c>
      <c r="B43">
        <v>59</v>
      </c>
      <c r="C43">
        <v>1.069E-2</v>
      </c>
      <c r="D43">
        <f t="shared" si="1"/>
        <v>88735.751473989352</v>
      </c>
      <c r="E43">
        <f t="shared" si="0"/>
        <v>948.58518325694615</v>
      </c>
    </row>
    <row r="44" spans="1:5" x14ac:dyDescent="0.25">
      <c r="A44" t="s">
        <v>6</v>
      </c>
      <c r="B44">
        <v>60</v>
      </c>
      <c r="C44">
        <v>1.149E-2</v>
      </c>
      <c r="D44">
        <f t="shared" si="1"/>
        <v>87787.166290732406</v>
      </c>
      <c r="E44">
        <f t="shared" si="0"/>
        <v>1008.6745406805154</v>
      </c>
    </row>
    <row r="45" spans="1:5" x14ac:dyDescent="0.25">
      <c r="A45" t="s">
        <v>6</v>
      </c>
      <c r="B45">
        <v>61</v>
      </c>
      <c r="C45">
        <v>1.235E-2</v>
      </c>
      <c r="D45">
        <f t="shared" si="1"/>
        <v>86778.491750051893</v>
      </c>
      <c r="E45">
        <f t="shared" si="0"/>
        <v>1071.7143731131409</v>
      </c>
    </row>
    <row r="46" spans="1:5" x14ac:dyDescent="0.25">
      <c r="A46" t="s">
        <v>6</v>
      </c>
      <c r="B46">
        <v>62</v>
      </c>
      <c r="C46">
        <v>1.328E-2</v>
      </c>
      <c r="D46">
        <f t="shared" si="1"/>
        <v>85706.777376938757</v>
      </c>
      <c r="E46">
        <f t="shared" si="0"/>
        <v>1138.1860035657467</v>
      </c>
    </row>
    <row r="47" spans="1:5" x14ac:dyDescent="0.25">
      <c r="A47" t="s">
        <v>6</v>
      </c>
      <c r="B47">
        <v>63</v>
      </c>
      <c r="C47">
        <v>1.4290000000000001E-2</v>
      </c>
      <c r="D47">
        <f t="shared" si="1"/>
        <v>84568.591373373012</v>
      </c>
      <c r="E47">
        <f t="shared" si="0"/>
        <v>1208.4851707255004</v>
      </c>
    </row>
    <row r="48" spans="1:5" x14ac:dyDescent="0.25">
      <c r="A48" t="s">
        <v>6</v>
      </c>
      <c r="B48">
        <v>64</v>
      </c>
      <c r="C48">
        <v>1.5389999999999999E-2</v>
      </c>
      <c r="D48">
        <f t="shared" si="1"/>
        <v>83360.106202647512</v>
      </c>
      <c r="E48">
        <f t="shared" si="0"/>
        <v>1282.9120344587452</v>
      </c>
    </row>
    <row r="49" spans="1:5" x14ac:dyDescent="0.25">
      <c r="A49" t="s">
        <v>6</v>
      </c>
      <c r="B49">
        <v>65</v>
      </c>
      <c r="C49">
        <v>1.6590000000000001E-2</v>
      </c>
      <c r="D49">
        <f t="shared" si="1"/>
        <v>82077.194168188769</v>
      </c>
      <c r="E49">
        <f t="shared" si="0"/>
        <v>1361.6606512502517</v>
      </c>
    </row>
    <row r="50" spans="1:5" x14ac:dyDescent="0.25">
      <c r="A50" t="s">
        <v>6</v>
      </c>
      <c r="B50">
        <v>66</v>
      </c>
      <c r="C50">
        <v>1.7899999999999999E-2</v>
      </c>
      <c r="D50">
        <f t="shared" si="1"/>
        <v>80715.533516938522</v>
      </c>
      <c r="E50">
        <f t="shared" si="0"/>
        <v>1444.8080499531995</v>
      </c>
    </row>
    <row r="51" spans="1:5" x14ac:dyDescent="0.25">
      <c r="A51" t="s">
        <v>6</v>
      </c>
      <c r="B51">
        <v>67</v>
      </c>
      <c r="C51">
        <v>1.933E-2</v>
      </c>
      <c r="D51">
        <f t="shared" si="1"/>
        <v>79270.725466985314</v>
      </c>
      <c r="E51">
        <f t="shared" si="0"/>
        <v>1532.303123276826</v>
      </c>
    </row>
    <row r="52" spans="1:5" x14ac:dyDescent="0.25">
      <c r="A52" t="s">
        <v>6</v>
      </c>
      <c r="B52">
        <v>68</v>
      </c>
      <c r="C52">
        <v>2.0889999999999999E-2</v>
      </c>
      <c r="D52">
        <f t="shared" si="1"/>
        <v>77738.422343708487</v>
      </c>
      <c r="E52">
        <f t="shared" si="0"/>
        <v>1623.9556427600703</v>
      </c>
    </row>
    <row r="53" spans="1:5" x14ac:dyDescent="0.25">
      <c r="A53" t="s">
        <v>6</v>
      </c>
      <c r="B53">
        <v>69</v>
      </c>
      <c r="C53">
        <v>2.2589999999999999E-2</v>
      </c>
      <c r="D53">
        <f t="shared" si="1"/>
        <v>76114.466700948426</v>
      </c>
      <c r="E53">
        <f t="shared" si="0"/>
        <v>1719.4258027744249</v>
      </c>
    </row>
    <row r="54" spans="1:5" x14ac:dyDescent="0.25">
      <c r="A54" t="s">
        <v>6</v>
      </c>
      <c r="B54">
        <v>70</v>
      </c>
      <c r="C54">
        <v>2.443E-2</v>
      </c>
      <c r="D54">
        <f t="shared" si="1"/>
        <v>74395.040898174004</v>
      </c>
      <c r="E54">
        <f t="shared" si="0"/>
        <v>1817.470849142391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5"/>
  <sheetViews>
    <sheetView zoomScale="85" zoomScaleNormal="85" workbookViewId="0">
      <selection activeCell="C7" sqref="C7"/>
    </sheetView>
  </sheetViews>
  <sheetFormatPr defaultRowHeight="15" x14ac:dyDescent="0.25"/>
  <cols>
    <col min="6" max="6" width="12.85546875" bestFit="1" customWidth="1"/>
    <col min="7" max="7" width="9.7109375" bestFit="1" customWidth="1"/>
    <col min="8" max="8" width="11.42578125" bestFit="1" customWidth="1"/>
  </cols>
  <sheetData>
    <row r="2" spans="1:9" x14ac:dyDescent="0.25">
      <c r="A2" t="s">
        <v>7</v>
      </c>
    </row>
    <row r="3" spans="1:9" x14ac:dyDescent="0.25">
      <c r="A3" t="s">
        <v>8</v>
      </c>
      <c r="C3">
        <v>5000000</v>
      </c>
    </row>
    <row r="4" spans="1:9" x14ac:dyDescent="0.25">
      <c r="A4" t="s">
        <v>9</v>
      </c>
      <c r="C4">
        <v>20</v>
      </c>
      <c r="G4" t="s">
        <v>18</v>
      </c>
      <c r="H4" t="s">
        <v>19</v>
      </c>
      <c r="I4" t="s">
        <v>20</v>
      </c>
    </row>
    <row r="5" spans="1:9" x14ac:dyDescent="0.25">
      <c r="A5" t="s">
        <v>10</v>
      </c>
      <c r="C5">
        <v>30</v>
      </c>
      <c r="F5" t="s">
        <v>15</v>
      </c>
      <c r="G5">
        <f>SUM(H10:H29)</f>
        <v>141124.10222729371</v>
      </c>
      <c r="H5">
        <f>SUM(H33:H52)</f>
        <v>52333.703156403048</v>
      </c>
      <c r="I5">
        <f>SUM(H56:H75)</f>
        <v>101455.86019709868</v>
      </c>
    </row>
    <row r="6" spans="1:9" x14ac:dyDescent="0.25">
      <c r="A6" t="s">
        <v>11</v>
      </c>
      <c r="C6">
        <v>0.06</v>
      </c>
      <c r="F6" t="s">
        <v>16</v>
      </c>
      <c r="G6">
        <f>SUM(G10:G29)</f>
        <v>11.469921218565249</v>
      </c>
      <c r="H6">
        <f>SUM(G33:G52)</f>
        <v>11.469921218565249</v>
      </c>
      <c r="I6">
        <f>SUM(G56:G75)</f>
        <v>11.469921218565249</v>
      </c>
    </row>
    <row r="7" spans="1:9" x14ac:dyDescent="0.25">
      <c r="F7" t="s">
        <v>17</v>
      </c>
      <c r="G7">
        <f>G5/G6</f>
        <v>12303.842331442505</v>
      </c>
      <c r="H7">
        <f>H5/H6</f>
        <v>4562.6907246490555</v>
      </c>
      <c r="I7">
        <f>I5/I6</f>
        <v>8845.3842239894311</v>
      </c>
    </row>
    <row r="9" spans="1:9" x14ac:dyDescent="0.25">
      <c r="A9" t="s">
        <v>0</v>
      </c>
      <c r="B9" t="s">
        <v>1</v>
      </c>
      <c r="C9" t="s">
        <v>3</v>
      </c>
      <c r="D9" t="s">
        <v>12</v>
      </c>
      <c r="E9" t="s">
        <v>4</v>
      </c>
      <c r="F9" t="s">
        <v>5</v>
      </c>
      <c r="G9" t="s">
        <v>13</v>
      </c>
      <c r="H9" t="s">
        <v>14</v>
      </c>
    </row>
    <row r="10" spans="1:9" x14ac:dyDescent="0.25">
      <c r="A10">
        <v>1</v>
      </c>
      <c r="B10">
        <v>30</v>
      </c>
      <c r="C10">
        <f>USA!C14</f>
        <v>1.8906681353918901E-3</v>
      </c>
      <c r="D10">
        <f>1-C10</f>
        <v>0.99810933186460815</v>
      </c>
      <c r="E10">
        <f>USA!D14</f>
        <v>97328.593207030994</v>
      </c>
      <c r="F10">
        <f>E10*C10</f>
        <v>184.01606983905307</v>
      </c>
      <c r="G10">
        <f>1/(1+$C$6)^A10</f>
        <v>0.94339622641509424</v>
      </c>
      <c r="H10">
        <f>($C$3*G10*E10*C10)/$E$10</f>
        <v>8918.2459216598581</v>
      </c>
    </row>
    <row r="11" spans="1:9" x14ac:dyDescent="0.25">
      <c r="A11">
        <v>2</v>
      </c>
      <c r="B11">
        <v>31</v>
      </c>
      <c r="C11">
        <f>USA!C15</f>
        <v>1.9133348532733201E-3</v>
      </c>
      <c r="D11">
        <f t="shared" ref="D11:D29" si="0">1-C11</f>
        <v>0.99808666514672673</v>
      </c>
      <c r="E11">
        <f>USA!D15</f>
        <v>97144.577137191998</v>
      </c>
      <c r="F11">
        <f t="shared" ref="F11:F29" si="1">E11*C11</f>
        <v>185.87010524308798</v>
      </c>
      <c r="G11">
        <f t="shared" ref="G11:G29" si="2">1/(1+$C$6)^A11</f>
        <v>0.88999644001423983</v>
      </c>
      <c r="H11">
        <f t="shared" ref="H11:H29" si="3">($C$3*G11*E11*C11)/$E$10</f>
        <v>8498.2083127176138</v>
      </c>
    </row>
    <row r="12" spans="1:9" x14ac:dyDescent="0.25">
      <c r="A12">
        <v>3</v>
      </c>
      <c r="B12">
        <v>32</v>
      </c>
      <c r="C12">
        <f>USA!C16</f>
        <v>1.9245716677414699E-3</v>
      </c>
      <c r="D12">
        <f t="shared" si="0"/>
        <v>0.99807542833225849</v>
      </c>
      <c r="E12">
        <f>USA!D16</f>
        <v>96958.707031948899</v>
      </c>
      <c r="F12">
        <f t="shared" si="1"/>
        <v>186.60398049453448</v>
      </c>
      <c r="G12">
        <f t="shared" si="2"/>
        <v>0.8396192830323016</v>
      </c>
      <c r="H12">
        <f t="shared" si="3"/>
        <v>8048.8320621527473</v>
      </c>
    </row>
    <row r="13" spans="1:9" x14ac:dyDescent="0.25">
      <c r="A13">
        <v>4</v>
      </c>
      <c r="B13">
        <v>33</v>
      </c>
      <c r="C13">
        <f>USA!C17</f>
        <v>1.96980949229028E-3</v>
      </c>
      <c r="D13">
        <f t="shared" si="0"/>
        <v>0.99803019050770969</v>
      </c>
      <c r="E13">
        <f>USA!D17</f>
        <v>96772.103051454294</v>
      </c>
      <c r="F13">
        <f t="shared" si="1"/>
        <v>190.62260717964784</v>
      </c>
      <c r="G13">
        <f t="shared" si="2"/>
        <v>0.79209366323802044</v>
      </c>
      <c r="H13">
        <f t="shared" si="3"/>
        <v>7756.7626450600892</v>
      </c>
    </row>
    <row r="14" spans="1:9" x14ac:dyDescent="0.25">
      <c r="A14">
        <v>5</v>
      </c>
      <c r="B14">
        <v>34</v>
      </c>
      <c r="C14">
        <f>USA!C18</f>
        <v>2.08167380610332E-3</v>
      </c>
      <c r="D14">
        <f t="shared" si="0"/>
        <v>0.99791832619389664</v>
      </c>
      <c r="E14">
        <f>USA!D18</f>
        <v>96581.480444274697</v>
      </c>
      <c r="F14">
        <f t="shared" si="1"/>
        <v>201.05113799552669</v>
      </c>
      <c r="G14">
        <f t="shared" si="2"/>
        <v>0.74725817286605689</v>
      </c>
      <c r="H14">
        <f t="shared" si="3"/>
        <v>7718.0354241638033</v>
      </c>
    </row>
    <row r="15" spans="1:9" x14ac:dyDescent="0.25">
      <c r="A15">
        <v>6</v>
      </c>
      <c r="B15">
        <v>35</v>
      </c>
      <c r="C15">
        <f>USA!C19</f>
        <v>2.1542246333609602E-3</v>
      </c>
      <c r="D15">
        <f t="shared" si="0"/>
        <v>0.99784577536663899</v>
      </c>
      <c r="E15">
        <f>USA!D19</f>
        <v>96380.429306279198</v>
      </c>
      <c r="F15">
        <f t="shared" si="1"/>
        <v>207.62509498549124</v>
      </c>
      <c r="G15">
        <f t="shared" si="2"/>
        <v>0.70496054043967626</v>
      </c>
      <c r="H15">
        <f t="shared" si="3"/>
        <v>7519.2445686781739</v>
      </c>
    </row>
    <row r="16" spans="1:9" x14ac:dyDescent="0.25">
      <c r="A16">
        <v>7</v>
      </c>
      <c r="B16">
        <v>36</v>
      </c>
      <c r="C16">
        <f>USA!C20</f>
        <v>2.2017505378491399E-3</v>
      </c>
      <c r="D16">
        <f t="shared" si="0"/>
        <v>0.9977982494621509</v>
      </c>
      <c r="E16">
        <f>USA!D20</f>
        <v>96172.804211293696</v>
      </c>
      <c r="F16">
        <f t="shared" si="1"/>
        <v>211.74852339867593</v>
      </c>
      <c r="G16">
        <f t="shared" si="2"/>
        <v>0.66505711362233599</v>
      </c>
      <c r="H16">
        <f t="shared" si="3"/>
        <v>7234.5061787629911</v>
      </c>
    </row>
    <row r="17" spans="1:8" x14ac:dyDescent="0.25">
      <c r="A17">
        <v>8</v>
      </c>
      <c r="B17">
        <v>37</v>
      </c>
      <c r="C17">
        <f>USA!C21</f>
        <v>2.3130460178720801E-3</v>
      </c>
      <c r="D17">
        <f t="shared" si="0"/>
        <v>0.99768695398212792</v>
      </c>
      <c r="E17">
        <f>USA!D21</f>
        <v>95961.055687895001</v>
      </c>
      <c r="F17">
        <f t="shared" si="1"/>
        <v>221.96233772968645</v>
      </c>
      <c r="G17">
        <f t="shared" si="2"/>
        <v>0.62741237134182648</v>
      </c>
      <c r="H17">
        <f t="shared" si="3"/>
        <v>7154.2139917366894</v>
      </c>
    </row>
    <row r="18" spans="1:8" x14ac:dyDescent="0.25">
      <c r="A18">
        <v>9</v>
      </c>
      <c r="B18">
        <v>38</v>
      </c>
      <c r="C18">
        <f>USA!C22</f>
        <v>2.41878687764674E-3</v>
      </c>
      <c r="D18">
        <f t="shared" si="0"/>
        <v>0.99758121312235326</v>
      </c>
      <c r="E18">
        <f>USA!D22</f>
        <v>95739.093350165305</v>
      </c>
      <c r="F18">
        <f t="shared" si="1"/>
        <v>231.57246267317612</v>
      </c>
      <c r="G18">
        <f t="shared" si="2"/>
        <v>0.59189846353002495</v>
      </c>
      <c r="H18">
        <f t="shared" si="3"/>
        <v>7041.4757028572403</v>
      </c>
    </row>
    <row r="19" spans="1:8" x14ac:dyDescent="0.25">
      <c r="A19">
        <v>10</v>
      </c>
      <c r="B19">
        <v>39</v>
      </c>
      <c r="C19">
        <f>USA!C23</f>
        <v>2.4695722837723001E-3</v>
      </c>
      <c r="D19">
        <f t="shared" si="0"/>
        <v>0.99753042771622769</v>
      </c>
      <c r="E19">
        <f>USA!D23</f>
        <v>95507.520887492094</v>
      </c>
      <c r="F19">
        <f t="shared" si="1"/>
        <v>235.8627264755545</v>
      </c>
      <c r="G19">
        <f t="shared" si="2"/>
        <v>0.55839477691511785</v>
      </c>
      <c r="H19">
        <f t="shared" si="3"/>
        <v>6765.9723722069784</v>
      </c>
    </row>
    <row r="20" spans="1:8" x14ac:dyDescent="0.25">
      <c r="A20">
        <v>11</v>
      </c>
      <c r="B20">
        <v>40</v>
      </c>
      <c r="C20">
        <f>USA!C24</f>
        <v>2.75962355490691E-3</v>
      </c>
      <c r="D20">
        <f t="shared" si="0"/>
        <v>0.99724037644509311</v>
      </c>
      <c r="E20">
        <f>USA!D24</f>
        <v>95271.658161016603</v>
      </c>
      <c r="F20">
        <f t="shared" si="1"/>
        <v>262.91391197618054</v>
      </c>
      <c r="G20">
        <f t="shared" si="2"/>
        <v>0.52678752539162055</v>
      </c>
      <c r="H20">
        <f t="shared" si="3"/>
        <v>7115.060668058507</v>
      </c>
    </row>
    <row r="21" spans="1:8" x14ac:dyDescent="0.25">
      <c r="A21">
        <v>12</v>
      </c>
      <c r="B21">
        <v>41</v>
      </c>
      <c r="C21">
        <f>USA!C25</f>
        <v>2.65388085363631E-3</v>
      </c>
      <c r="D21">
        <f t="shared" si="0"/>
        <v>0.99734611914636373</v>
      </c>
      <c r="E21">
        <f>USA!D25</f>
        <v>95008.744249040406</v>
      </c>
      <c r="F21">
        <f t="shared" si="1"/>
        <v>252.14188729055721</v>
      </c>
      <c r="G21">
        <f t="shared" si="2"/>
        <v>0.4969693635770005</v>
      </c>
      <c r="H21">
        <f t="shared" si="3"/>
        <v>6437.3063006956045</v>
      </c>
    </row>
    <row r="22" spans="1:8" x14ac:dyDescent="0.25">
      <c r="A22">
        <v>13</v>
      </c>
      <c r="B22">
        <v>42</v>
      </c>
      <c r="C22">
        <f>USA!C26</f>
        <v>2.8464723213965102E-3</v>
      </c>
      <c r="D22">
        <f t="shared" si="0"/>
        <v>0.99715352767860344</v>
      </c>
      <c r="E22">
        <f>USA!D26</f>
        <v>94756.602361749799</v>
      </c>
      <c r="F22">
        <f t="shared" si="1"/>
        <v>269.72204589229597</v>
      </c>
      <c r="G22">
        <f t="shared" si="2"/>
        <v>0.46883902224245327</v>
      </c>
      <c r="H22">
        <f t="shared" si="3"/>
        <v>6496.3550846968883</v>
      </c>
    </row>
    <row r="23" spans="1:8" x14ac:dyDescent="0.25">
      <c r="A23">
        <v>14</v>
      </c>
      <c r="B23">
        <v>43</v>
      </c>
      <c r="C23">
        <f>USA!C27</f>
        <v>2.8515017073565E-3</v>
      </c>
      <c r="D23">
        <f t="shared" si="0"/>
        <v>0.99714849829264351</v>
      </c>
      <c r="E23">
        <f>USA!D27</f>
        <v>94486.880315857605</v>
      </c>
      <c r="F23">
        <f t="shared" si="1"/>
        <v>269.42950054345721</v>
      </c>
      <c r="G23">
        <f t="shared" si="2"/>
        <v>0.44230096437967292</v>
      </c>
      <c r="H23">
        <f t="shared" si="3"/>
        <v>6121.9896433320682</v>
      </c>
    </row>
    <row r="24" spans="1:8" x14ac:dyDescent="0.25">
      <c r="A24">
        <v>15</v>
      </c>
      <c r="B24">
        <v>44</v>
      </c>
      <c r="C24">
        <f>USA!C28</f>
        <v>3.0378378492766098E-3</v>
      </c>
      <c r="D24">
        <f t="shared" si="0"/>
        <v>0.99696216215072342</v>
      </c>
      <c r="E24">
        <f>USA!D28</f>
        <v>94217.450815314107</v>
      </c>
      <c r="F24">
        <f t="shared" si="1"/>
        <v>286.21733814911858</v>
      </c>
      <c r="G24">
        <f t="shared" si="2"/>
        <v>0.41726506073554037</v>
      </c>
      <c r="H24">
        <f t="shared" si="3"/>
        <v>6135.3242172275213</v>
      </c>
    </row>
    <row r="25" spans="1:8" x14ac:dyDescent="0.25">
      <c r="A25">
        <v>16</v>
      </c>
      <c r="B25">
        <v>45</v>
      </c>
      <c r="C25">
        <f>USA!C29</f>
        <v>3.3382899011284001E-3</v>
      </c>
      <c r="D25">
        <f t="shared" si="0"/>
        <v>0.99666171009887161</v>
      </c>
      <c r="E25">
        <f>USA!D29</f>
        <v>93931.233477165006</v>
      </c>
      <c r="F25">
        <f t="shared" si="1"/>
        <v>313.56968811735385</v>
      </c>
      <c r="G25">
        <f t="shared" si="2"/>
        <v>0.39364628371277405</v>
      </c>
      <c r="H25">
        <f t="shared" si="3"/>
        <v>6341.1757195445107</v>
      </c>
    </row>
    <row r="26" spans="1:8" x14ac:dyDescent="0.25">
      <c r="A26">
        <v>17</v>
      </c>
      <c r="B26">
        <v>46</v>
      </c>
      <c r="C26">
        <f>USA!C30</f>
        <v>3.54193009328412E-3</v>
      </c>
      <c r="D26">
        <f t="shared" si="0"/>
        <v>0.99645806990671593</v>
      </c>
      <c r="E26">
        <f>USA!D30</f>
        <v>93617.663789047598</v>
      </c>
      <c r="F26">
        <f t="shared" si="1"/>
        <v>331.58722063738276</v>
      </c>
      <c r="G26">
        <f t="shared" si="2"/>
        <v>0.37136441859695657</v>
      </c>
      <c r="H26">
        <f t="shared" si="3"/>
        <v>6325.9773592045922</v>
      </c>
    </row>
    <row r="27" spans="1:8" x14ac:dyDescent="0.25">
      <c r="A27">
        <v>18</v>
      </c>
      <c r="B27">
        <v>47</v>
      </c>
      <c r="C27">
        <f>USA!C31</f>
        <v>3.85678919134071E-3</v>
      </c>
      <c r="D27">
        <f t="shared" si="0"/>
        <v>0.99614321080865931</v>
      </c>
      <c r="E27">
        <f>USA!D31</f>
        <v>93286.076568410295</v>
      </c>
      <c r="F27">
        <f t="shared" si="1"/>
        <v>359.78473181162667</v>
      </c>
      <c r="G27">
        <f t="shared" si="2"/>
        <v>0.35034379112920433</v>
      </c>
      <c r="H27">
        <f t="shared" si="3"/>
        <v>6475.4016666596408</v>
      </c>
    </row>
    <row r="28" spans="1:8" x14ac:dyDescent="0.25">
      <c r="A28">
        <v>19</v>
      </c>
      <c r="B28">
        <v>48</v>
      </c>
      <c r="C28">
        <f>USA!C32</f>
        <v>4.1183607754941001E-3</v>
      </c>
      <c r="D28">
        <f t="shared" si="0"/>
        <v>0.9958816392245059</v>
      </c>
      <c r="E28">
        <f>USA!D32</f>
        <v>92926.291836598597</v>
      </c>
      <c r="F28">
        <f t="shared" si="1"/>
        <v>382.70399531196529</v>
      </c>
      <c r="G28">
        <f t="shared" si="2"/>
        <v>0.3305130104992493</v>
      </c>
      <c r="H28">
        <f t="shared" si="3"/>
        <v>6498.0210569565033</v>
      </c>
    </row>
    <row r="29" spans="1:8" x14ac:dyDescent="0.25">
      <c r="A29">
        <v>20</v>
      </c>
      <c r="B29">
        <v>49</v>
      </c>
      <c r="C29">
        <f>USA!C33</f>
        <v>4.3996868322937399E-3</v>
      </c>
      <c r="D29">
        <f t="shared" si="0"/>
        <v>0.99560031316770625</v>
      </c>
      <c r="E29">
        <f>USA!D33</f>
        <v>92543.587841286702</v>
      </c>
      <c r="F29">
        <f t="shared" si="1"/>
        <v>407.16280483852813</v>
      </c>
      <c r="G29">
        <f t="shared" si="2"/>
        <v>0.31180472688608429</v>
      </c>
      <c r="H29">
        <f t="shared" si="3"/>
        <v>6521.993330921694</v>
      </c>
    </row>
    <row r="32" spans="1:8" x14ac:dyDescent="0.25">
      <c r="A32" t="s">
        <v>0</v>
      </c>
      <c r="B32" t="s">
        <v>1</v>
      </c>
      <c r="C32" t="s">
        <v>3</v>
      </c>
      <c r="D32" t="s">
        <v>12</v>
      </c>
      <c r="E32" t="s">
        <v>4</v>
      </c>
      <c r="F32" t="s">
        <v>5</v>
      </c>
      <c r="G32" t="s">
        <v>13</v>
      </c>
      <c r="H32" t="s">
        <v>14</v>
      </c>
    </row>
    <row r="33" spans="1:8" x14ac:dyDescent="0.25">
      <c r="A33">
        <v>1</v>
      </c>
      <c r="B33">
        <v>30</v>
      </c>
      <c r="C33">
        <f>JAPAN!C14</f>
        <v>5.9928758190272804E-4</v>
      </c>
      <c r="D33">
        <f>1-C33</f>
        <v>0.99940071241809725</v>
      </c>
      <c r="E33">
        <f>JAPAN!D14</f>
        <v>99061.619189155797</v>
      </c>
      <c r="F33">
        <f>E33*C33</f>
        <v>59.366398223238058</v>
      </c>
      <c r="G33">
        <f>1/(1+$C$6)^A33</f>
        <v>0.94339622641509424</v>
      </c>
      <c r="H33">
        <f>($C$3*G33*E33*C33)/$E$33</f>
        <v>2826.8282165223018</v>
      </c>
    </row>
    <row r="34" spans="1:8" x14ac:dyDescent="0.25">
      <c r="A34">
        <v>2</v>
      </c>
      <c r="B34">
        <v>31</v>
      </c>
      <c r="C34">
        <f>JAPAN!C15</f>
        <v>5.3297449349991104E-4</v>
      </c>
      <c r="D34">
        <f t="shared" ref="D34:D52" si="4">1-C34</f>
        <v>0.99946702550650013</v>
      </c>
      <c r="E34">
        <f>JAPAN!D15</f>
        <v>99002.270574376496</v>
      </c>
      <c r="F34">
        <f t="shared" ref="F34:F52" si="5">E34*C34</f>
        <v>52.765685014719459</v>
      </c>
      <c r="G34">
        <f t="shared" ref="G34:G52" si="6">1/(1+$C$6)^A34</f>
        <v>0.88999644001423983</v>
      </c>
      <c r="H34">
        <f t="shared" ref="H34:H52" si="7">($C$3*G34*E34*C34)/$E$33</f>
        <v>2370.3060883923981</v>
      </c>
    </row>
    <row r="35" spans="1:8" x14ac:dyDescent="0.25">
      <c r="A35">
        <v>3</v>
      </c>
      <c r="B35">
        <v>32</v>
      </c>
      <c r="C35">
        <f>JAPAN!C16</f>
        <v>5.5775633827634299E-4</v>
      </c>
      <c r="D35">
        <f t="shared" si="4"/>
        <v>0.99944224366172363</v>
      </c>
      <c r="E35">
        <f>JAPAN!D16</f>
        <v>98949.518946997705</v>
      </c>
      <c r="F35">
        <f t="shared" si="5"/>
        <v>55.189721362083063</v>
      </c>
      <c r="G35">
        <f t="shared" si="6"/>
        <v>0.8396192830323016</v>
      </c>
      <c r="H35">
        <f t="shared" si="7"/>
        <v>2338.8651760427369</v>
      </c>
    </row>
    <row r="36" spans="1:8" x14ac:dyDescent="0.25">
      <c r="A36">
        <v>4</v>
      </c>
      <c r="B36">
        <v>33</v>
      </c>
      <c r="C36">
        <f>JAPAN!C17</f>
        <v>6.1188421607976903E-4</v>
      </c>
      <c r="D36">
        <f t="shared" si="4"/>
        <v>0.99938811578392028</v>
      </c>
      <c r="E36">
        <f>JAPAN!D17</f>
        <v>98894.344612553003</v>
      </c>
      <c r="F36">
        <f t="shared" si="5"/>
        <v>60.51188852797452</v>
      </c>
      <c r="G36">
        <f t="shared" si="6"/>
        <v>0.79209366323802044</v>
      </c>
      <c r="H36">
        <f t="shared" si="7"/>
        <v>2419.2560068118223</v>
      </c>
    </row>
    <row r="37" spans="1:8" x14ac:dyDescent="0.25">
      <c r="A37">
        <v>5</v>
      </c>
      <c r="B37">
        <v>34</v>
      </c>
      <c r="C37">
        <f>JAPAN!C18</f>
        <v>6.2197705747445197E-4</v>
      </c>
      <c r="D37">
        <f t="shared" si="4"/>
        <v>0.99937802294252553</v>
      </c>
      <c r="E37">
        <f>JAPAN!D18</f>
        <v>98833.851231497596</v>
      </c>
      <c r="F37">
        <f t="shared" si="5"/>
        <v>61.472387967834614</v>
      </c>
      <c r="G37">
        <f t="shared" si="6"/>
        <v>0.74725817286605689</v>
      </c>
      <c r="H37">
        <f t="shared" si="7"/>
        <v>2318.5439875984794</v>
      </c>
    </row>
    <row r="38" spans="1:8" x14ac:dyDescent="0.25">
      <c r="A38">
        <v>6</v>
      </c>
      <c r="B38">
        <v>35</v>
      </c>
      <c r="C38">
        <f>JAPAN!C19</f>
        <v>6.5034045009615198E-4</v>
      </c>
      <c r="D38">
        <f t="shared" si="4"/>
        <v>0.99934965954990385</v>
      </c>
      <c r="E38">
        <f>JAPAN!D19</f>
        <v>98772.397954793894</v>
      </c>
      <c r="F38">
        <f t="shared" si="5"/>
        <v>64.235685742996907</v>
      </c>
      <c r="G38">
        <f t="shared" si="6"/>
        <v>0.70496054043967626</v>
      </c>
      <c r="H38">
        <f t="shared" si="7"/>
        <v>2285.629091647912</v>
      </c>
    </row>
    <row r="39" spans="1:8" x14ac:dyDescent="0.25">
      <c r="A39">
        <v>7</v>
      </c>
      <c r="B39">
        <v>36</v>
      </c>
      <c r="C39">
        <f>JAPAN!C20</f>
        <v>6.8829695508286395E-4</v>
      </c>
      <c r="D39">
        <f t="shared" si="4"/>
        <v>0.99931170304491712</v>
      </c>
      <c r="E39">
        <f>JAPAN!D20</f>
        <v>98708.183149793505</v>
      </c>
      <c r="F39">
        <f t="shared" si="5"/>
        <v>67.940541903764526</v>
      </c>
      <c r="G39">
        <f t="shared" si="6"/>
        <v>0.66505711362233599</v>
      </c>
      <c r="H39">
        <f t="shared" si="7"/>
        <v>2280.6179157124711</v>
      </c>
    </row>
    <row r="40" spans="1:8" x14ac:dyDescent="0.25">
      <c r="A40">
        <v>8</v>
      </c>
      <c r="B40">
        <v>37</v>
      </c>
      <c r="C40">
        <f>JAPAN!C21</f>
        <v>7.43415404094949E-4</v>
      </c>
      <c r="D40">
        <f t="shared" si="4"/>
        <v>0.99925658459590505</v>
      </c>
      <c r="E40">
        <f>JAPAN!D21</f>
        <v>98640.265981479795</v>
      </c>
      <c r="F40">
        <f t="shared" si="5"/>
        <v>73.330693194655055</v>
      </c>
      <c r="G40">
        <f t="shared" si="6"/>
        <v>0.62741237134182648</v>
      </c>
      <c r="H40">
        <f t="shared" si="7"/>
        <v>2322.2204768098013</v>
      </c>
    </row>
    <row r="41" spans="1:8" x14ac:dyDescent="0.25">
      <c r="A41">
        <v>9</v>
      </c>
      <c r="B41">
        <v>38</v>
      </c>
      <c r="C41">
        <f>JAPAN!C22</f>
        <v>7.9909533869838498E-4</v>
      </c>
      <c r="D41">
        <f t="shared" si="4"/>
        <v>0.99920090466130163</v>
      </c>
      <c r="E41">
        <f>JAPAN!D22</f>
        <v>98566.962535740502</v>
      </c>
      <c r="F41">
        <f t="shared" si="5"/>
        <v>78.764400311968586</v>
      </c>
      <c r="G41">
        <f t="shared" si="6"/>
        <v>0.59189846353002495</v>
      </c>
      <c r="H41">
        <f t="shared" si="7"/>
        <v>2353.1074853772197</v>
      </c>
    </row>
    <row r="42" spans="1:8" x14ac:dyDescent="0.25">
      <c r="A42">
        <v>10</v>
      </c>
      <c r="B42">
        <v>39</v>
      </c>
      <c r="C42">
        <f>JAPAN!C23</f>
        <v>9.0145416962941803E-4</v>
      </c>
      <c r="D42">
        <f t="shared" si="4"/>
        <v>0.99909854583037061</v>
      </c>
      <c r="E42">
        <f>JAPAN!D23</f>
        <v>98488.229592992298</v>
      </c>
      <c r="F42">
        <f t="shared" si="5"/>
        <v>88.782625226022347</v>
      </c>
      <c r="G42">
        <f t="shared" si="6"/>
        <v>0.55839477691511785</v>
      </c>
      <c r="H42">
        <f t="shared" si="7"/>
        <v>2502.2685179594905</v>
      </c>
    </row>
    <row r="43" spans="1:8" x14ac:dyDescent="0.25">
      <c r="A43">
        <v>11</v>
      </c>
      <c r="B43">
        <v>40</v>
      </c>
      <c r="C43">
        <f>JAPAN!C24</f>
        <v>9.6669648935666995E-4</v>
      </c>
      <c r="D43">
        <f t="shared" si="4"/>
        <v>0.99903330351064334</v>
      </c>
      <c r="E43">
        <f>JAPAN!D24</f>
        <v>98399.486966471595</v>
      </c>
      <c r="F43">
        <f t="shared" si="5"/>
        <v>95.12243860498549</v>
      </c>
      <c r="G43">
        <f t="shared" si="6"/>
        <v>0.52678752539162055</v>
      </c>
      <c r="H43">
        <f t="shared" si="7"/>
        <v>2529.199222266604</v>
      </c>
    </row>
    <row r="44" spans="1:8" x14ac:dyDescent="0.25">
      <c r="A44">
        <v>12</v>
      </c>
      <c r="B44">
        <v>41</v>
      </c>
      <c r="C44">
        <f>JAPAN!C25</f>
        <v>1.00096425892215E-3</v>
      </c>
      <c r="D44">
        <f t="shared" si="4"/>
        <v>0.99899903574107785</v>
      </c>
      <c r="E44">
        <f>JAPAN!D25</f>
        <v>98304.410482918101</v>
      </c>
      <c r="F44">
        <f t="shared" si="5"/>
        <v>98.399201387812951</v>
      </c>
      <c r="G44">
        <f t="shared" si="6"/>
        <v>0.4969693635770005</v>
      </c>
      <c r="H44">
        <f t="shared" si="7"/>
        <v>2468.2308289757748</v>
      </c>
    </row>
    <row r="45" spans="1:8" x14ac:dyDescent="0.25">
      <c r="A45">
        <v>13</v>
      </c>
      <c r="B45">
        <v>42</v>
      </c>
      <c r="C45">
        <f>JAPAN!C26</f>
        <v>1.0634076114861199E-3</v>
      </c>
      <c r="D45">
        <f t="shared" si="4"/>
        <v>0.99893659238851384</v>
      </c>
      <c r="E45">
        <f>JAPAN!D26</f>
        <v>98206.060503937202</v>
      </c>
      <c r="F45">
        <f t="shared" si="5"/>
        <v>104.43307223395324</v>
      </c>
      <c r="G45">
        <f t="shared" si="6"/>
        <v>0.46883902224245327</v>
      </c>
      <c r="H45">
        <f t="shared" si="7"/>
        <v>2471.3052278324758</v>
      </c>
    </row>
    <row r="46" spans="1:8" x14ac:dyDescent="0.25">
      <c r="A46">
        <v>14</v>
      </c>
      <c r="B46">
        <v>43</v>
      </c>
      <c r="C46">
        <f>JAPAN!C27</f>
        <v>1.21535858360473E-3</v>
      </c>
      <c r="D46">
        <f t="shared" si="4"/>
        <v>0.99878464141639522</v>
      </c>
      <c r="E46">
        <f>JAPAN!D27</f>
        <v>98101.682929656701</v>
      </c>
      <c r="F46">
        <f t="shared" si="5"/>
        <v>119.2287224146279</v>
      </c>
      <c r="G46">
        <f t="shared" si="6"/>
        <v>0.44230096437967292</v>
      </c>
      <c r="H46">
        <f t="shared" si="7"/>
        <v>2661.7260719840474</v>
      </c>
    </row>
    <row r="47" spans="1:8" x14ac:dyDescent="0.25">
      <c r="A47">
        <v>15</v>
      </c>
      <c r="B47">
        <v>44</v>
      </c>
      <c r="C47">
        <f>JAPAN!C28</f>
        <v>1.28237480559568E-3</v>
      </c>
      <c r="D47">
        <f t="shared" si="4"/>
        <v>0.99871762519440432</v>
      </c>
      <c r="E47">
        <f>JAPAN!D28</f>
        <v>97982.526616066301</v>
      </c>
      <c r="F47">
        <f t="shared" si="5"/>
        <v>125.65032352105156</v>
      </c>
      <c r="G47">
        <f t="shared" si="6"/>
        <v>0.41726506073554037</v>
      </c>
      <c r="H47">
        <f t="shared" si="7"/>
        <v>2646.3069302016461</v>
      </c>
    </row>
    <row r="48" spans="1:8" x14ac:dyDescent="0.25">
      <c r="A48">
        <v>16</v>
      </c>
      <c r="B48">
        <v>45</v>
      </c>
      <c r="C48">
        <f>JAPAN!C29</f>
        <v>1.4581317881436199E-3</v>
      </c>
      <c r="D48">
        <f t="shared" si="4"/>
        <v>0.99854186821185642</v>
      </c>
      <c r="E48">
        <f>JAPAN!D29</f>
        <v>97856.956806325499</v>
      </c>
      <c r="F48">
        <f t="shared" si="5"/>
        <v>142.68833941030039</v>
      </c>
      <c r="G48">
        <f t="shared" si="6"/>
        <v>0.39364628371277405</v>
      </c>
      <c r="H48">
        <f t="shared" si="7"/>
        <v>2835.0402001182138</v>
      </c>
    </row>
    <row r="49" spans="1:8" x14ac:dyDescent="0.25">
      <c r="A49">
        <v>17</v>
      </c>
      <c r="B49">
        <v>46</v>
      </c>
      <c r="C49">
        <f>JAPAN!C30</f>
        <v>1.58366944290072E-3</v>
      </c>
      <c r="D49">
        <f t="shared" si="4"/>
        <v>0.99841633055709933</v>
      </c>
      <c r="E49">
        <f>JAPAN!D30</f>
        <v>97714.372420328</v>
      </c>
      <c r="F49">
        <f t="shared" si="5"/>
        <v>154.74726573429433</v>
      </c>
      <c r="G49">
        <f t="shared" si="6"/>
        <v>0.37136441859695657</v>
      </c>
      <c r="H49">
        <f t="shared" si="7"/>
        <v>2900.6000931173899</v>
      </c>
    </row>
    <row r="50" spans="1:8" x14ac:dyDescent="0.25">
      <c r="A50">
        <v>18</v>
      </c>
      <c r="B50">
        <v>47</v>
      </c>
      <c r="C50">
        <f>JAPAN!C31</f>
        <v>1.8412950383225101E-3</v>
      </c>
      <c r="D50">
        <f t="shared" si="4"/>
        <v>0.99815870496167747</v>
      </c>
      <c r="E50">
        <f>JAPAN!D31</f>
        <v>97559.747591901702</v>
      </c>
      <c r="F50">
        <f t="shared" si="5"/>
        <v>179.63627918096506</v>
      </c>
      <c r="G50">
        <f t="shared" si="6"/>
        <v>0.35034379112920433</v>
      </c>
      <c r="H50">
        <f t="shared" si="7"/>
        <v>3176.5307082469358</v>
      </c>
    </row>
    <row r="51" spans="1:8" x14ac:dyDescent="0.25">
      <c r="A51">
        <v>19</v>
      </c>
      <c r="B51">
        <v>48</v>
      </c>
      <c r="C51">
        <f>JAPAN!C32</f>
        <v>1.9964111666093101E-3</v>
      </c>
      <c r="D51">
        <f t="shared" si="4"/>
        <v>0.99800358883339069</v>
      </c>
      <c r="E51">
        <f>JAPAN!D32</f>
        <v>97380.276542297303</v>
      </c>
      <c r="F51">
        <f t="shared" si="5"/>
        <v>194.41107149654499</v>
      </c>
      <c r="G51">
        <f t="shared" si="6"/>
        <v>0.3305130104992493</v>
      </c>
      <c r="H51">
        <f t="shared" si="7"/>
        <v>3243.2030205368314</v>
      </c>
    </row>
    <row r="52" spans="1:8" x14ac:dyDescent="0.25">
      <c r="A52">
        <v>20</v>
      </c>
      <c r="B52">
        <v>49</v>
      </c>
      <c r="C52">
        <f>JAPAN!C33</f>
        <v>2.2124250490774002E-3</v>
      </c>
      <c r="D52">
        <f t="shared" si="4"/>
        <v>0.99778757495092263</v>
      </c>
      <c r="E52">
        <f>JAPAN!D33</f>
        <v>97186.059339497006</v>
      </c>
      <c r="F52">
        <f t="shared" si="5"/>
        <v>215.01687210382579</v>
      </c>
      <c r="G52">
        <f t="shared" si="6"/>
        <v>0.31180472688608429</v>
      </c>
      <c r="H52">
        <f t="shared" si="7"/>
        <v>3383.9178902484914</v>
      </c>
    </row>
    <row r="55" spans="1:8" x14ac:dyDescent="0.25">
      <c r="A55" t="s">
        <v>0</v>
      </c>
      <c r="B55" t="s">
        <v>1</v>
      </c>
      <c r="C55" t="s">
        <v>3</v>
      </c>
      <c r="D55" t="s">
        <v>12</v>
      </c>
      <c r="E55" t="s">
        <v>4</v>
      </c>
      <c r="F55" t="s">
        <v>5</v>
      </c>
      <c r="G55" t="s">
        <v>13</v>
      </c>
      <c r="H55" t="s">
        <v>14</v>
      </c>
    </row>
    <row r="56" spans="1:8" x14ac:dyDescent="0.25">
      <c r="A56">
        <v>1</v>
      </c>
      <c r="B56">
        <v>30</v>
      </c>
      <c r="C56">
        <f>INDIA!C14</f>
        <v>1.0560000000000001E-3</v>
      </c>
      <c r="D56">
        <f>1-C56</f>
        <v>0.99894400000000005</v>
      </c>
      <c r="E56">
        <f>INDIA!D14</f>
        <v>98869.299599660255</v>
      </c>
      <c r="F56">
        <f>E56*C56</f>
        <v>104.40598037724124</v>
      </c>
      <c r="G56">
        <f>1/(1+$C$6)^A56</f>
        <v>0.94339622641509424</v>
      </c>
      <c r="H56">
        <f>($C$3*G56*E56*C56)/$E$56</f>
        <v>4981.132075471698</v>
      </c>
    </row>
    <row r="57" spans="1:8" x14ac:dyDescent="0.25">
      <c r="A57">
        <v>2</v>
      </c>
      <c r="B57">
        <v>31</v>
      </c>
      <c r="C57">
        <f>INDIA!C15</f>
        <v>1.0839999999999999E-3</v>
      </c>
      <c r="D57">
        <f t="shared" ref="D57:D75" si="8">1-C57</f>
        <v>0.99891600000000003</v>
      </c>
      <c r="E57">
        <f>INDIA!D15</f>
        <v>98764.893619283015</v>
      </c>
      <c r="F57">
        <f t="shared" ref="F57:F75" si="9">E57*C57</f>
        <v>107.06114468330277</v>
      </c>
      <c r="G57">
        <f t="shared" ref="G57:G75" si="10">1/(1+$C$6)^A57</f>
        <v>0.88999644001423983</v>
      </c>
      <c r="H57">
        <f t="shared" ref="H57:H75" si="11">($C$3*G57*E57*C57)/$E$56</f>
        <v>4818.6867924528287</v>
      </c>
    </row>
    <row r="58" spans="1:8" x14ac:dyDescent="0.25">
      <c r="A58">
        <v>3</v>
      </c>
      <c r="B58">
        <v>32</v>
      </c>
      <c r="C58">
        <f>INDIA!C16</f>
        <v>1.119E-3</v>
      </c>
      <c r="D58">
        <f t="shared" si="8"/>
        <v>0.99888100000000002</v>
      </c>
      <c r="E58">
        <f>INDIA!D16</f>
        <v>98657.832474599709</v>
      </c>
      <c r="F58">
        <f t="shared" si="9"/>
        <v>110.39811453907707</v>
      </c>
      <c r="G58">
        <f t="shared" si="10"/>
        <v>0.8396192830323016</v>
      </c>
      <c r="H58">
        <f t="shared" si="11"/>
        <v>4687.6222524457089</v>
      </c>
    </row>
    <row r="59" spans="1:8" x14ac:dyDescent="0.25">
      <c r="A59">
        <v>4</v>
      </c>
      <c r="B59">
        <v>33</v>
      </c>
      <c r="C59">
        <f>INDIA!C17</f>
        <v>1.1640000000000001E-3</v>
      </c>
      <c r="D59">
        <f t="shared" si="8"/>
        <v>0.99883599999999995</v>
      </c>
      <c r="E59">
        <f>INDIA!D17</f>
        <v>98547.434360060637</v>
      </c>
      <c r="F59">
        <f t="shared" si="9"/>
        <v>114.7092135951106</v>
      </c>
      <c r="G59">
        <f t="shared" si="10"/>
        <v>0.79209366323802044</v>
      </c>
      <c r="H59">
        <f t="shared" si="11"/>
        <v>4594.9774890493873</v>
      </c>
    </row>
    <row r="60" spans="1:8" x14ac:dyDescent="0.25">
      <c r="A60">
        <v>5</v>
      </c>
      <c r="B60">
        <v>34</v>
      </c>
      <c r="C60">
        <f>INDIA!C18</f>
        <v>1.2179999999999999E-3</v>
      </c>
      <c r="D60">
        <f t="shared" si="8"/>
        <v>0.99878199999999995</v>
      </c>
      <c r="E60">
        <f>INDIA!D18</f>
        <v>98432.725146465527</v>
      </c>
      <c r="F60">
        <f t="shared" si="9"/>
        <v>119.89105922839501</v>
      </c>
      <c r="G60">
        <f t="shared" si="10"/>
        <v>0.74725817286605689</v>
      </c>
      <c r="H60">
        <f t="shared" si="11"/>
        <v>4530.7074200359011</v>
      </c>
    </row>
    <row r="61" spans="1:8" x14ac:dyDescent="0.25">
      <c r="A61">
        <v>6</v>
      </c>
      <c r="B61">
        <v>35</v>
      </c>
      <c r="C61">
        <f>INDIA!C19</f>
        <v>1.2819999999999999E-3</v>
      </c>
      <c r="D61">
        <f t="shared" si="8"/>
        <v>0.99871799999999999</v>
      </c>
      <c r="E61">
        <f>INDIA!D19</f>
        <v>98312.834087237134</v>
      </c>
      <c r="F61">
        <f t="shared" si="9"/>
        <v>126.03705329983799</v>
      </c>
      <c r="G61">
        <f t="shared" si="10"/>
        <v>0.70496054043967626</v>
      </c>
      <c r="H61">
        <f t="shared" si="11"/>
        <v>4493.3639445941526</v>
      </c>
    </row>
    <row r="62" spans="1:8" x14ac:dyDescent="0.25">
      <c r="A62">
        <v>7</v>
      </c>
      <c r="B62">
        <v>36</v>
      </c>
      <c r="C62">
        <f>INDIA!C20</f>
        <v>1.358E-3</v>
      </c>
      <c r="D62">
        <f t="shared" si="8"/>
        <v>0.99864200000000003</v>
      </c>
      <c r="E62">
        <f>INDIA!D20</f>
        <v>98186.797033937299</v>
      </c>
      <c r="F62">
        <f t="shared" si="9"/>
        <v>133.33767037208685</v>
      </c>
      <c r="G62">
        <f t="shared" si="10"/>
        <v>0.66505711362233599</v>
      </c>
      <c r="H62">
        <f t="shared" si="11"/>
        <v>4484.5653076261533</v>
      </c>
    </row>
    <row r="63" spans="1:8" x14ac:dyDescent="0.25">
      <c r="A63">
        <v>8</v>
      </c>
      <c r="B63">
        <v>37</v>
      </c>
      <c r="C63">
        <f>INDIA!C21</f>
        <v>1.4469999999999999E-3</v>
      </c>
      <c r="D63">
        <f t="shared" si="8"/>
        <v>0.99855300000000002</v>
      </c>
      <c r="E63">
        <f>INDIA!D21</f>
        <v>98053.459363565213</v>
      </c>
      <c r="F63">
        <f t="shared" si="9"/>
        <v>141.88335569907886</v>
      </c>
      <c r="G63">
        <f t="shared" si="10"/>
        <v>0.62741237134182648</v>
      </c>
      <c r="H63">
        <f t="shared" si="11"/>
        <v>4501.871309574889</v>
      </c>
    </row>
    <row r="64" spans="1:8" x14ac:dyDescent="0.25">
      <c r="A64">
        <v>9</v>
      </c>
      <c r="B64">
        <v>38</v>
      </c>
      <c r="C64">
        <f>INDIA!C22</f>
        <v>1.549E-3</v>
      </c>
      <c r="D64">
        <f t="shared" si="8"/>
        <v>0.99845099999999998</v>
      </c>
      <c r="E64">
        <f>INDIA!D22</f>
        <v>97911.576007866141</v>
      </c>
      <c r="F64">
        <f t="shared" si="9"/>
        <v>151.66503123618466</v>
      </c>
      <c r="G64">
        <f t="shared" si="10"/>
        <v>0.59189846353002495</v>
      </c>
      <c r="H64">
        <f t="shared" si="11"/>
        <v>4539.8470163856318</v>
      </c>
    </row>
    <row r="65" spans="1:8" x14ac:dyDescent="0.25">
      <c r="A65">
        <v>10</v>
      </c>
      <c r="B65">
        <v>39</v>
      </c>
      <c r="C65">
        <f>INDIA!C23</f>
        <v>1.6670000000000001E-3</v>
      </c>
      <c r="D65">
        <f t="shared" si="8"/>
        <v>0.99833300000000003</v>
      </c>
      <c r="E65">
        <f>INDIA!D23</f>
        <v>97759.910976629952</v>
      </c>
      <c r="F65">
        <f t="shared" si="9"/>
        <v>162.96577159804212</v>
      </c>
      <c r="G65">
        <f t="shared" si="10"/>
        <v>0.55839477691511785</v>
      </c>
      <c r="H65">
        <f t="shared" si="11"/>
        <v>4601.9965775403089</v>
      </c>
    </row>
    <row r="66" spans="1:8" x14ac:dyDescent="0.25">
      <c r="A66">
        <v>11</v>
      </c>
      <c r="B66">
        <v>40</v>
      </c>
      <c r="C66">
        <f>INDIA!C24</f>
        <v>1.8029999999999999E-3</v>
      </c>
      <c r="D66">
        <f t="shared" si="8"/>
        <v>0.998197</v>
      </c>
      <c r="E66">
        <f>INDIA!D24</f>
        <v>97596.945205031909</v>
      </c>
      <c r="F66">
        <f t="shared" si="9"/>
        <v>175.96729220467253</v>
      </c>
      <c r="G66">
        <f t="shared" si="10"/>
        <v>0.52678752539162055</v>
      </c>
      <c r="H66">
        <f t="shared" si="11"/>
        <v>4687.8745366717549</v>
      </c>
    </row>
    <row r="67" spans="1:8" x14ac:dyDescent="0.25">
      <c r="A67">
        <v>12</v>
      </c>
      <c r="B67">
        <v>41</v>
      </c>
      <c r="C67">
        <f>INDIA!C25</f>
        <v>1.9589999999999998E-3</v>
      </c>
      <c r="D67">
        <f t="shared" si="8"/>
        <v>0.99804099999999996</v>
      </c>
      <c r="E67">
        <f>INDIA!D25</f>
        <v>97420.977912827235</v>
      </c>
      <c r="F67">
        <f t="shared" si="9"/>
        <v>190.84769573122853</v>
      </c>
      <c r="G67">
        <f t="shared" si="10"/>
        <v>0.4969693635770005</v>
      </c>
      <c r="H67">
        <f t="shared" si="11"/>
        <v>4796.5070184441556</v>
      </c>
    </row>
    <row r="68" spans="1:8" x14ac:dyDescent="0.25">
      <c r="A68">
        <v>13</v>
      </c>
      <c r="B68">
        <v>42</v>
      </c>
      <c r="C68">
        <f>INDIA!C26</f>
        <v>2.14E-3</v>
      </c>
      <c r="D68">
        <f t="shared" si="8"/>
        <v>0.99785999999999997</v>
      </c>
      <c r="E68">
        <f>INDIA!D26</f>
        <v>97230.130217095997</v>
      </c>
      <c r="F68">
        <f t="shared" si="9"/>
        <v>208.07247866458542</v>
      </c>
      <c r="G68">
        <f t="shared" si="10"/>
        <v>0.46883902224245327</v>
      </c>
      <c r="H68">
        <f t="shared" si="11"/>
        <v>4933.4069244788679</v>
      </c>
    </row>
    <row r="69" spans="1:8" x14ac:dyDescent="0.25">
      <c r="A69">
        <v>14</v>
      </c>
      <c r="B69">
        <v>43</v>
      </c>
      <c r="C69">
        <f>INDIA!C27</f>
        <v>2.3500000000000001E-3</v>
      </c>
      <c r="D69">
        <f t="shared" si="8"/>
        <v>0.99765000000000004</v>
      </c>
      <c r="E69">
        <f>INDIA!D27</f>
        <v>97022.057738431409</v>
      </c>
      <c r="F69">
        <f t="shared" si="9"/>
        <v>228.00183568531381</v>
      </c>
      <c r="G69">
        <f t="shared" si="10"/>
        <v>0.44230096437967292</v>
      </c>
      <c r="H69">
        <f t="shared" si="11"/>
        <v>5099.9365936793056</v>
      </c>
    </row>
    <row r="70" spans="1:8" x14ac:dyDescent="0.25">
      <c r="A70">
        <v>15</v>
      </c>
      <c r="B70">
        <v>44</v>
      </c>
      <c r="C70">
        <f>INDIA!C28</f>
        <v>2.5929999999999998E-3</v>
      </c>
      <c r="D70">
        <f t="shared" si="8"/>
        <v>0.99740700000000004</v>
      </c>
      <c r="E70">
        <f>INDIA!D28</f>
        <v>96794.055902746099</v>
      </c>
      <c r="F70">
        <f t="shared" si="9"/>
        <v>250.98698695582061</v>
      </c>
      <c r="G70">
        <f t="shared" si="10"/>
        <v>0.41726506073554037</v>
      </c>
      <c r="H70">
        <f t="shared" si="11"/>
        <v>5296.2901922039428</v>
      </c>
    </row>
    <row r="71" spans="1:8" x14ac:dyDescent="0.25">
      <c r="A71">
        <v>16</v>
      </c>
      <c r="B71">
        <v>45</v>
      </c>
      <c r="C71">
        <f>INDIA!C29</f>
        <v>2.8739999999999998E-3</v>
      </c>
      <c r="D71">
        <f t="shared" si="8"/>
        <v>0.99712599999999996</v>
      </c>
      <c r="E71">
        <f>INDIA!D29</f>
        <v>96543.068915790282</v>
      </c>
      <c r="F71">
        <f t="shared" si="9"/>
        <v>277.46478006398127</v>
      </c>
      <c r="G71">
        <f t="shared" si="10"/>
        <v>0.39364628371277405</v>
      </c>
      <c r="H71">
        <f t="shared" si="11"/>
        <v>5523.6043936607266</v>
      </c>
    </row>
    <row r="72" spans="1:8" x14ac:dyDescent="0.25">
      <c r="A72">
        <v>17</v>
      </c>
      <c r="B72">
        <v>46</v>
      </c>
      <c r="C72">
        <f>INDIA!C30</f>
        <v>3.1970000000000002E-3</v>
      </c>
      <c r="D72">
        <f t="shared" si="8"/>
        <v>0.99680299999999999</v>
      </c>
      <c r="E72">
        <f>INDIA!D30</f>
        <v>96265.604135726302</v>
      </c>
      <c r="F72">
        <f t="shared" si="9"/>
        <v>307.761136421917</v>
      </c>
      <c r="G72">
        <f t="shared" si="10"/>
        <v>0.37136441859695657</v>
      </c>
      <c r="H72">
        <f t="shared" si="11"/>
        <v>5779.9304716859033</v>
      </c>
    </row>
    <row r="73" spans="1:8" x14ac:dyDescent="0.25">
      <c r="A73">
        <v>18</v>
      </c>
      <c r="B73">
        <v>47</v>
      </c>
      <c r="C73">
        <f>INDIA!C31</f>
        <v>3.5669999999999999E-3</v>
      </c>
      <c r="D73">
        <f t="shared" si="8"/>
        <v>0.99643300000000001</v>
      </c>
      <c r="E73">
        <f>INDIA!D31</f>
        <v>95957.842999304383</v>
      </c>
      <c r="F73">
        <f t="shared" si="9"/>
        <v>342.28162597851872</v>
      </c>
      <c r="G73">
        <f t="shared" si="10"/>
        <v>0.35034379112920433</v>
      </c>
      <c r="H73">
        <f t="shared" si="11"/>
        <v>6064.3821168322856</v>
      </c>
    </row>
    <row r="74" spans="1:8" x14ac:dyDescent="0.25">
      <c r="A74">
        <v>19</v>
      </c>
      <c r="B74">
        <v>48</v>
      </c>
      <c r="C74">
        <f>INDIA!C32</f>
        <v>3.9830000000000004E-3</v>
      </c>
      <c r="D74">
        <f t="shared" si="8"/>
        <v>0.99601700000000004</v>
      </c>
      <c r="E74">
        <f>INDIA!D32</f>
        <v>95615.561373325865</v>
      </c>
      <c r="F74">
        <f t="shared" si="9"/>
        <v>380.83678094995696</v>
      </c>
      <c r="G74">
        <f t="shared" si="10"/>
        <v>0.3305130104992493</v>
      </c>
      <c r="H74">
        <f t="shared" si="11"/>
        <v>6365.5508580666619</v>
      </c>
    </row>
    <row r="75" spans="1:8" x14ac:dyDescent="0.25">
      <c r="A75">
        <v>20</v>
      </c>
      <c r="B75">
        <v>49</v>
      </c>
      <c r="C75">
        <f>INDIA!C33</f>
        <v>4.444E-3</v>
      </c>
      <c r="D75">
        <f t="shared" si="8"/>
        <v>0.995556</v>
      </c>
      <c r="E75">
        <f>INDIA!D33</f>
        <v>95234.724592375918</v>
      </c>
      <c r="F75">
        <f t="shared" si="9"/>
        <v>423.22311608851857</v>
      </c>
      <c r="G75">
        <f t="shared" si="10"/>
        <v>0.31180472688608429</v>
      </c>
      <c r="H75">
        <f t="shared" si="11"/>
        <v>6673.6069061983908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workbookViewId="0">
      <selection activeCell="F17" sqref="F17"/>
    </sheetView>
  </sheetViews>
  <sheetFormatPr defaultRowHeight="15" x14ac:dyDescent="0.25"/>
  <sheetData>
    <row r="2" spans="2:3" x14ac:dyDescent="0.25">
      <c r="B2" t="s">
        <v>19</v>
      </c>
      <c r="C2">
        <v>4562.6907246490555</v>
      </c>
    </row>
    <row r="3" spans="2:3" x14ac:dyDescent="0.25">
      <c r="B3" t="s">
        <v>20</v>
      </c>
      <c r="C3">
        <v>8845.3842239894311</v>
      </c>
    </row>
    <row r="4" spans="2:3" x14ac:dyDescent="0.25">
      <c r="B4" t="s">
        <v>18</v>
      </c>
      <c r="C4">
        <v>12303.842331442505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8"/>
  <sheetViews>
    <sheetView tabSelected="1" zoomScale="85" zoomScaleNormal="85" workbookViewId="0">
      <selection activeCell="P32" sqref="P32"/>
    </sheetView>
  </sheetViews>
  <sheetFormatPr defaultRowHeight="15" x14ac:dyDescent="0.25"/>
  <cols>
    <col min="2" max="2" width="15" bestFit="1" customWidth="1"/>
  </cols>
  <sheetData>
    <row r="2" spans="2:5" x14ac:dyDescent="0.25">
      <c r="B2" t="s">
        <v>11</v>
      </c>
      <c r="C2" t="s">
        <v>18</v>
      </c>
      <c r="D2" t="s">
        <v>22</v>
      </c>
      <c r="E2" t="s">
        <v>21</v>
      </c>
    </row>
    <row r="3" spans="2:5" x14ac:dyDescent="0.25">
      <c r="B3">
        <v>0.03</v>
      </c>
      <c r="C3">
        <v>12793.504898197334</v>
      </c>
      <c r="D3">
        <v>4900.0588462826645</v>
      </c>
      <c r="E3">
        <v>9512.0348783503141</v>
      </c>
    </row>
    <row r="4" spans="2:5" x14ac:dyDescent="0.25">
      <c r="B4">
        <v>0.04</v>
      </c>
      <c r="C4">
        <v>12623.870664977841</v>
      </c>
      <c r="D4">
        <v>4782.7122907783169</v>
      </c>
      <c r="E4">
        <v>9280.1506583107093</v>
      </c>
    </row>
    <row r="5" spans="2:5" x14ac:dyDescent="0.25">
      <c r="B5">
        <v>0.05</v>
      </c>
      <c r="C5">
        <v>12460.567105558934</v>
      </c>
      <c r="D5">
        <v>4670.2069963585682</v>
      </c>
      <c r="E5">
        <v>9057.8392537032305</v>
      </c>
    </row>
    <row r="6" spans="2:5" x14ac:dyDescent="0.25">
      <c r="B6">
        <v>0.06</v>
      </c>
      <c r="C6">
        <v>12303.842331442505</v>
      </c>
      <c r="D6">
        <v>4562.6907246490555</v>
      </c>
      <c r="E6">
        <v>8845.3842239894311</v>
      </c>
    </row>
    <row r="7" spans="2:5" x14ac:dyDescent="0.25">
      <c r="B7">
        <v>7.0000000000000007E-2</v>
      </c>
      <c r="C7">
        <v>12153.866251504545</v>
      </c>
      <c r="D7">
        <v>4460.2541223606431</v>
      </c>
      <c r="E7">
        <v>8642.956485980143</v>
      </c>
    </row>
    <row r="8" spans="2:5" x14ac:dyDescent="0.25">
      <c r="B8">
        <v>0.08</v>
      </c>
      <c r="C8">
        <v>12010.734914630488</v>
      </c>
      <c r="D8">
        <v>4362.9344727679036</v>
      </c>
      <c r="E8">
        <v>8450.6218789898721</v>
      </c>
    </row>
    <row r="9" spans="2:5" x14ac:dyDescent="0.25">
      <c r="B9">
        <v>0.09</v>
      </c>
      <c r="C9">
        <v>11874.476224253302</v>
      </c>
      <c r="D9">
        <v>4270.7203715069772</v>
      </c>
      <c r="E9">
        <v>8268.3505310792771</v>
      </c>
    </row>
    <row r="23" spans="2:5" x14ac:dyDescent="0.25">
      <c r="B23" t="s">
        <v>23</v>
      </c>
      <c r="C23" t="s">
        <v>18</v>
      </c>
      <c r="D23" t="s">
        <v>22</v>
      </c>
      <c r="E23" t="s">
        <v>21</v>
      </c>
    </row>
    <row r="24" spans="2:5" x14ac:dyDescent="0.25">
      <c r="B24" s="1">
        <v>-0.2</v>
      </c>
      <c r="C24">
        <f>0.8*$C$6</f>
        <v>9843.073865154005</v>
      </c>
      <c r="D24">
        <f>0.8*D6</f>
        <v>3650.1525797192444</v>
      </c>
      <c r="E24">
        <f>0.8*E6</f>
        <v>7076.3073791915449</v>
      </c>
    </row>
    <row r="25" spans="2:5" x14ac:dyDescent="0.25">
      <c r="B25" s="1">
        <v>-0.1</v>
      </c>
      <c r="C25">
        <f>0.9*C6</f>
        <v>11073.458098298255</v>
      </c>
      <c r="D25">
        <f>0.9*D6</f>
        <v>4106.4216521841499</v>
      </c>
      <c r="E25">
        <f>0.9*E6</f>
        <v>7960.845801590488</v>
      </c>
    </row>
    <row r="26" spans="2:5" x14ac:dyDescent="0.25">
      <c r="B26">
        <v>0</v>
      </c>
      <c r="C26">
        <f>C6</f>
        <v>12303.842331442505</v>
      </c>
      <c r="D26">
        <f>D6</f>
        <v>4562.6907246490555</v>
      </c>
      <c r="E26">
        <f>E6</f>
        <v>8845.3842239894311</v>
      </c>
    </row>
    <row r="27" spans="2:5" x14ac:dyDescent="0.25">
      <c r="B27" s="1">
        <v>0.1</v>
      </c>
      <c r="C27">
        <f>1.1*C6</f>
        <v>13534.226564586757</v>
      </c>
      <c r="D27">
        <f>1.1*D6</f>
        <v>5018.959797113961</v>
      </c>
      <c r="E27">
        <f>1.1*E6</f>
        <v>9729.9226463883751</v>
      </c>
    </row>
    <row r="28" spans="2:5" x14ac:dyDescent="0.25">
      <c r="B28" s="1">
        <v>0.2</v>
      </c>
      <c r="C28">
        <f>1.2*C6</f>
        <v>14764.610797731006</v>
      </c>
      <c r="D28">
        <f>1.2*D6</f>
        <v>5475.2288695788666</v>
      </c>
      <c r="E28">
        <f>1.2*E6</f>
        <v>10614.461068787317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USA</vt:lpstr>
      <vt:lpstr>JAPAN</vt:lpstr>
      <vt:lpstr>INDIA</vt:lpstr>
      <vt:lpstr>PREMIUM CALC</vt:lpstr>
      <vt:lpstr>COMPARISON CHART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2026-05-24T08:03:44Z</dcterms:created>
  <dcterms:modified xsi:type="dcterms:W3CDTF">2026-05-24T11:56:42Z</dcterms:modified>
</cp:coreProperties>
</file>